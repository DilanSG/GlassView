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xr:revisionPtr revIDLastSave="0" documentId="13_ncr:1000001_{9460FB8B-CA47-0047-ADD2-2CE6F00DE5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5020 -2 HOJAS" sheetId="1" r:id="rId1"/>
    <sheet name="5020 - 3 HOJAS" sheetId="2" r:id="rId2"/>
    <sheet name="5020 - 4 HOJAS" sheetId="3" r:id="rId3"/>
    <sheet name="744 - 2 HOJAS" sheetId="4" r:id="rId4"/>
    <sheet name="744 - 4 HOJAS" sheetId="5" r:id="rId5"/>
    <sheet name="744 3 HOJAS 1 DE PARCHE" sheetId="6" r:id="rId6"/>
    <sheet name="8025 4 hojas" sheetId="7" r:id="rId7"/>
    <sheet name="8025 de 3 hojas " sheetId="8" r:id="rId8"/>
    <sheet name="P.B. TUBLAR DE 1X1.2 -PISA" sheetId="9" r:id="rId9"/>
    <sheet name="8025 de  2 hojas" sheetId="10" r:id="rId10"/>
    <sheet name="P.B DE 2 HOJAS DE 1X1.2 PISA" sheetId="11" r:id="rId11"/>
    <sheet name="P.B TUBULAR 3X1-1.2 PISA" sheetId="12" r:id="rId12"/>
    <sheet name="P.B TUBULAR 3X1-1.2 2 HOJAS" sheetId="13" r:id="rId13"/>
    <sheet name="FIJO PRO-3831" sheetId="14" r:id="rId14"/>
    <sheet name="FIJO PRO 3831  1 BASCULANTE" sheetId="15" r:id="rId15"/>
    <sheet name="FIJO PRO 3831 2 BASCULANTES" sheetId="16" r:id="rId16"/>
    <sheet name="7038-4 HOJAS" sheetId="17" r:id="rId17"/>
    <sheet name="7038  DE 2 HOJAS" sheetId="18" r:id="rId18"/>
    <sheet name="DIVICION ACRILICO BAÑO" sheetId="19" r:id="rId19"/>
    <sheet name="PUERTA B. BOTAGUA Y 744" sheetId="20" r:id="rId20"/>
    <sheet name="7038 DE 3 HOJAS" sheetId="21" r:id="rId21"/>
    <sheet name="ALACENA " sheetId="22" r:id="rId22"/>
    <sheet name="REFERENCIAS DE PERFILES" sheetId="23" r:id="rId2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0" i="23" l="1"/>
  <c r="H79" i="23"/>
  <c r="H78" i="23"/>
  <c r="H77" i="23"/>
  <c r="H76" i="23"/>
  <c r="H75" i="23"/>
  <c r="H74" i="23"/>
  <c r="H73" i="23"/>
  <c r="C73" i="23"/>
  <c r="C72" i="23"/>
  <c r="C71" i="23"/>
  <c r="C70" i="23"/>
  <c r="C69" i="23"/>
  <c r="H68" i="23"/>
  <c r="C68" i="23"/>
  <c r="H67" i="23"/>
  <c r="C67" i="23"/>
  <c r="H66" i="23"/>
  <c r="C66" i="23"/>
  <c r="H65" i="23"/>
  <c r="H64" i="23"/>
  <c r="H63" i="23"/>
  <c r="H62" i="23"/>
  <c r="H61" i="23"/>
  <c r="H56" i="23"/>
  <c r="H55" i="23"/>
  <c r="C55" i="23"/>
  <c r="H54" i="23"/>
  <c r="C54" i="23"/>
  <c r="H53" i="23"/>
  <c r="C53" i="23"/>
  <c r="H52" i="23"/>
  <c r="C52" i="23"/>
  <c r="H51" i="23"/>
  <c r="C51" i="23"/>
  <c r="H50" i="23"/>
  <c r="C50" i="23"/>
  <c r="H49" i="23"/>
  <c r="C49" i="23"/>
  <c r="H48" i="23"/>
  <c r="C48" i="23"/>
  <c r="H47" i="23"/>
  <c r="C47" i="23"/>
  <c r="H46" i="23"/>
  <c r="C46" i="23"/>
  <c r="H45" i="23"/>
  <c r="C45" i="23"/>
  <c r="H44" i="23"/>
  <c r="C44" i="23"/>
  <c r="H43" i="23"/>
  <c r="C43" i="23"/>
  <c r="H42" i="23"/>
  <c r="C42" i="23"/>
  <c r="H41" i="23"/>
  <c r="C41" i="23"/>
  <c r="H40" i="23"/>
  <c r="C40" i="23"/>
  <c r="H39" i="23"/>
  <c r="C39" i="23"/>
  <c r="H38" i="23"/>
  <c r="H37" i="23"/>
  <c r="H32" i="23"/>
  <c r="H31" i="23"/>
  <c r="C31" i="23"/>
  <c r="H30" i="23"/>
  <c r="C30" i="23"/>
  <c r="H29" i="23"/>
  <c r="C29" i="23"/>
  <c r="H28" i="23"/>
  <c r="C28" i="23"/>
  <c r="H27" i="23"/>
  <c r="C27" i="23"/>
  <c r="C26" i="23"/>
  <c r="H25" i="23"/>
  <c r="C21" i="23"/>
  <c r="C20" i="23"/>
  <c r="C19" i="23"/>
  <c r="C18" i="23"/>
  <c r="C17" i="23"/>
  <c r="C16" i="23"/>
  <c r="C15" i="23"/>
  <c r="C14" i="23"/>
  <c r="H9" i="23"/>
  <c r="C9" i="23"/>
  <c r="H8" i="23"/>
  <c r="C8" i="23"/>
  <c r="H7" i="23"/>
  <c r="C7" i="23"/>
  <c r="H6" i="23"/>
  <c r="C6" i="23"/>
  <c r="H5" i="23"/>
  <c r="C5" i="23"/>
  <c r="H4" i="23"/>
  <c r="C4" i="23"/>
  <c r="H3" i="23"/>
  <c r="C3" i="23"/>
  <c r="B38" i="22"/>
  <c r="D33" i="22"/>
  <c r="D12" i="22"/>
  <c r="E15" i="22"/>
  <c r="D11" i="22"/>
  <c r="D15" i="22"/>
  <c r="D10" i="22"/>
  <c r="D9" i="22"/>
  <c r="D8" i="22"/>
  <c r="C50" i="21"/>
  <c r="H43" i="21"/>
  <c r="D11" i="21"/>
  <c r="D22" i="21"/>
  <c r="D13" i="21"/>
  <c r="E22" i="21"/>
  <c r="G25" i="21"/>
  <c r="D17" i="21"/>
  <c r="E24" i="21"/>
  <c r="D15" i="21"/>
  <c r="D24" i="21"/>
  <c r="E23" i="21"/>
  <c r="D23" i="21"/>
  <c r="D14" i="21"/>
  <c r="D19" i="21"/>
  <c r="D18" i="21"/>
  <c r="D16" i="21"/>
  <c r="D12" i="21"/>
  <c r="D10" i="21"/>
  <c r="D9" i="21"/>
  <c r="D8" i="21"/>
  <c r="C42" i="20"/>
  <c r="E34" i="20"/>
  <c r="D11" i="20"/>
  <c r="D14" i="20"/>
  <c r="D12" i="20"/>
  <c r="E14" i="20"/>
  <c r="F15" i="20"/>
  <c r="D10" i="20"/>
  <c r="D9" i="20"/>
  <c r="B42" i="19"/>
  <c r="E37" i="19"/>
  <c r="D12" i="19"/>
  <c r="D20" i="19"/>
  <c r="D14" i="19"/>
  <c r="E20" i="19"/>
  <c r="F22" i="19"/>
  <c r="E21" i="19"/>
  <c r="D13" i="19"/>
  <c r="D21" i="19"/>
  <c r="D15" i="19"/>
  <c r="D11" i="19"/>
  <c r="D10" i="19"/>
  <c r="D9" i="19"/>
  <c r="C41" i="18"/>
  <c r="E36" i="18"/>
  <c r="D11" i="18"/>
  <c r="D16" i="18"/>
  <c r="D13" i="18"/>
  <c r="E16" i="18"/>
  <c r="G17" i="18"/>
  <c r="D12" i="18"/>
  <c r="D10" i="18"/>
  <c r="D9" i="18"/>
  <c r="D8" i="18"/>
  <c r="B45" i="17"/>
  <c r="G38" i="17"/>
  <c r="D11" i="17"/>
  <c r="D17" i="17"/>
  <c r="D13" i="17"/>
  <c r="E17" i="17"/>
  <c r="G18" i="17"/>
  <c r="D14" i="17"/>
  <c r="D12" i="17"/>
  <c r="D10" i="17"/>
  <c r="D9" i="17"/>
  <c r="D8" i="17"/>
  <c r="B46" i="16"/>
  <c r="G39" i="16"/>
  <c r="D9" i="16"/>
  <c r="D16" i="16"/>
  <c r="C21" i="16"/>
  <c r="D11" i="16"/>
  <c r="D21" i="16"/>
  <c r="D15" i="16"/>
  <c r="D18" i="16"/>
  <c r="C22" i="16"/>
  <c r="D14" i="16"/>
  <c r="D22" i="16"/>
  <c r="F23" i="16"/>
  <c r="D19" i="16"/>
  <c r="D17" i="16"/>
  <c r="D12" i="16"/>
  <c r="D10" i="16"/>
  <c r="B45" i="15"/>
  <c r="E38" i="15"/>
  <c r="D9" i="15"/>
  <c r="D16" i="15"/>
  <c r="C21" i="15"/>
  <c r="D11" i="15"/>
  <c r="D21" i="15"/>
  <c r="D15" i="15"/>
  <c r="D18" i="15"/>
  <c r="C22" i="15"/>
  <c r="D14" i="15"/>
  <c r="D22" i="15"/>
  <c r="F23" i="15"/>
  <c r="D19" i="15"/>
  <c r="D17" i="15"/>
  <c r="D12" i="15"/>
  <c r="D10" i="15"/>
  <c r="B36" i="14"/>
  <c r="E29" i="14"/>
  <c r="D14" i="14"/>
  <c r="E14" i="14"/>
  <c r="F15" i="14"/>
  <c r="D10" i="14"/>
  <c r="D12" i="14"/>
  <c r="D9" i="14"/>
  <c r="D11" i="14"/>
  <c r="B48" i="13"/>
  <c r="E40" i="13"/>
  <c r="C22" i="13"/>
  <c r="D12" i="13"/>
  <c r="D21" i="13"/>
  <c r="D22" i="13"/>
  <c r="F23" i="13"/>
  <c r="D9" i="13"/>
  <c r="C21" i="13"/>
  <c r="D19" i="13"/>
  <c r="D18" i="13"/>
  <c r="D17" i="13"/>
  <c r="D13" i="13"/>
  <c r="D11" i="13"/>
  <c r="D10" i="13"/>
  <c r="B49" i="12"/>
  <c r="C41" i="12"/>
  <c r="C22" i="12"/>
  <c r="D12" i="12"/>
  <c r="D21" i="12"/>
  <c r="D22" i="12"/>
  <c r="F24" i="12"/>
  <c r="D9" i="12"/>
  <c r="C21" i="12"/>
  <c r="D19" i="12"/>
  <c r="D18" i="12"/>
  <c r="D17" i="12"/>
  <c r="D13" i="12"/>
  <c r="D11" i="12"/>
  <c r="D10" i="12"/>
  <c r="B51" i="11"/>
  <c r="E43" i="11"/>
  <c r="F32" i="11"/>
  <c r="F31" i="11"/>
  <c r="F30" i="11"/>
  <c r="F29" i="11"/>
  <c r="F28" i="11"/>
  <c r="F27" i="11"/>
  <c r="D12" i="11"/>
  <c r="C25" i="11"/>
  <c r="D13" i="11"/>
  <c r="D24" i="11"/>
  <c r="D25" i="11"/>
  <c r="F26" i="11"/>
  <c r="F25" i="11"/>
  <c r="F24" i="11"/>
  <c r="C24" i="11"/>
  <c r="F22" i="11"/>
  <c r="D10" i="11"/>
  <c r="D22" i="11"/>
  <c r="F21" i="11"/>
  <c r="D21" i="11"/>
  <c r="F20" i="11"/>
  <c r="D20" i="11"/>
  <c r="F19" i="11"/>
  <c r="F18" i="11"/>
  <c r="J17" i="11"/>
  <c r="F17" i="11"/>
  <c r="J16" i="11"/>
  <c r="F16" i="11"/>
  <c r="D14" i="11"/>
  <c r="D16" i="11"/>
  <c r="J15" i="11"/>
  <c r="F15" i="11"/>
  <c r="D15" i="11"/>
  <c r="J14" i="11"/>
  <c r="F14" i="11"/>
  <c r="F13" i="11"/>
  <c r="F12" i="11"/>
  <c r="J11" i="11"/>
  <c r="F11" i="11"/>
  <c r="D11" i="11"/>
  <c r="F10" i="11"/>
  <c r="J9" i="11"/>
  <c r="H4" i="11"/>
  <c r="H2" i="11"/>
  <c r="C41" i="10"/>
  <c r="E36" i="10"/>
  <c r="G27" i="10"/>
  <c r="G26" i="10"/>
  <c r="G25" i="10"/>
  <c r="G24" i="10"/>
  <c r="G23" i="10"/>
  <c r="G22" i="10"/>
  <c r="K21" i="10"/>
  <c r="G21" i="10"/>
  <c r="G20" i="10"/>
  <c r="D18" i="10"/>
  <c r="D14" i="10"/>
  <c r="E18" i="10"/>
  <c r="G19" i="10"/>
  <c r="G18" i="10"/>
  <c r="D15" i="10"/>
  <c r="K15" i="10"/>
  <c r="G15" i="10"/>
  <c r="K14" i="10"/>
  <c r="G14" i="10"/>
  <c r="D13" i="10"/>
  <c r="K13" i="10"/>
  <c r="G13" i="10"/>
  <c r="D12" i="10"/>
  <c r="K12" i="10"/>
  <c r="G12" i="10"/>
  <c r="D11" i="10"/>
  <c r="K11" i="10"/>
  <c r="G11" i="10"/>
  <c r="D10" i="10"/>
  <c r="K10" i="10"/>
  <c r="G10" i="10"/>
  <c r="D9" i="10"/>
  <c r="K9" i="10"/>
  <c r="G9" i="10"/>
  <c r="B51" i="9"/>
  <c r="C44" i="9"/>
  <c r="F32" i="9"/>
  <c r="F31" i="9"/>
  <c r="F30" i="9"/>
  <c r="F29" i="9"/>
  <c r="F28" i="9"/>
  <c r="F27" i="9"/>
  <c r="D12" i="9"/>
  <c r="C25" i="9"/>
  <c r="D13" i="9"/>
  <c r="D24" i="9"/>
  <c r="D25" i="9"/>
  <c r="F26" i="9"/>
  <c r="F25" i="9"/>
  <c r="F24" i="9"/>
  <c r="C24" i="9"/>
  <c r="F22" i="9"/>
  <c r="D10" i="9"/>
  <c r="D22" i="9"/>
  <c r="F21" i="9"/>
  <c r="D21" i="9"/>
  <c r="F20" i="9"/>
  <c r="D20" i="9"/>
  <c r="F19" i="9"/>
  <c r="J18" i="9"/>
  <c r="F18" i="9"/>
  <c r="J17" i="9"/>
  <c r="F17" i="9"/>
  <c r="D14" i="9"/>
  <c r="D16" i="9"/>
  <c r="J16" i="9"/>
  <c r="F16" i="9"/>
  <c r="D15" i="9"/>
  <c r="J15" i="9"/>
  <c r="F15" i="9"/>
  <c r="F14" i="9"/>
  <c r="F13" i="9"/>
  <c r="J12" i="9"/>
  <c r="F12" i="9"/>
  <c r="F11" i="9"/>
  <c r="D11" i="9"/>
  <c r="J10" i="9"/>
  <c r="F10" i="9"/>
  <c r="D50" i="8"/>
  <c r="H43" i="8"/>
  <c r="G34" i="8"/>
  <c r="G33" i="8"/>
  <c r="G32" i="8"/>
  <c r="G31" i="8"/>
  <c r="G30" i="8"/>
  <c r="G29" i="8"/>
  <c r="G28" i="8"/>
  <c r="G27" i="8"/>
  <c r="D12" i="8"/>
  <c r="D23" i="8"/>
  <c r="D14" i="8"/>
  <c r="E23" i="8"/>
  <c r="G26" i="8"/>
  <c r="G25" i="8"/>
  <c r="D18" i="8"/>
  <c r="E25" i="8"/>
  <c r="D17" i="8"/>
  <c r="D25" i="8"/>
  <c r="G24" i="8"/>
  <c r="E24" i="8"/>
  <c r="D16" i="8"/>
  <c r="D24" i="8"/>
  <c r="G23" i="8"/>
  <c r="G20" i="8"/>
  <c r="D20" i="8"/>
  <c r="G19" i="8"/>
  <c r="D19" i="8"/>
  <c r="G18" i="8"/>
  <c r="G17" i="8"/>
  <c r="K16" i="8"/>
  <c r="G16" i="8"/>
  <c r="D15" i="8"/>
  <c r="K15" i="8"/>
  <c r="G15" i="8"/>
  <c r="K14" i="8"/>
  <c r="G14" i="8"/>
  <c r="D13" i="8"/>
  <c r="K13" i="8"/>
  <c r="G13" i="8"/>
  <c r="K12" i="8"/>
  <c r="G12" i="8"/>
  <c r="D11" i="8"/>
  <c r="K11" i="8"/>
  <c r="G11" i="8"/>
  <c r="D10" i="8"/>
  <c r="K10" i="8"/>
  <c r="G10" i="8"/>
  <c r="D9" i="8"/>
  <c r="K9" i="8"/>
  <c r="G9" i="8"/>
  <c r="B43" i="7"/>
  <c r="G37" i="7"/>
  <c r="G28" i="7"/>
  <c r="G27" i="7"/>
  <c r="G26" i="7"/>
  <c r="G25" i="7"/>
  <c r="G24" i="7"/>
  <c r="G23" i="7"/>
  <c r="G22" i="7"/>
  <c r="G21" i="7"/>
  <c r="D19" i="7"/>
  <c r="D15" i="7"/>
  <c r="E19" i="7"/>
  <c r="G20" i="7"/>
  <c r="G19" i="7"/>
  <c r="D14" i="7"/>
  <c r="K16" i="7"/>
  <c r="G16" i="7"/>
  <c r="D16" i="7"/>
  <c r="K15" i="7"/>
  <c r="G15" i="7"/>
  <c r="K14" i="7"/>
  <c r="G14" i="7"/>
  <c r="D13" i="7"/>
  <c r="K13" i="7"/>
  <c r="G13" i="7"/>
  <c r="D12" i="7"/>
  <c r="K12" i="7"/>
  <c r="G12" i="7"/>
  <c r="D11" i="7"/>
  <c r="K11" i="7"/>
  <c r="G11" i="7"/>
  <c r="D10" i="7"/>
  <c r="K10" i="7"/>
  <c r="G10" i="7"/>
  <c r="D9" i="7"/>
  <c r="K9" i="7"/>
  <c r="G9" i="7"/>
  <c r="B51" i="6"/>
  <c r="F44" i="6"/>
  <c r="G35" i="6"/>
  <c r="G34" i="6"/>
  <c r="G33" i="6"/>
  <c r="G32" i="6"/>
  <c r="G31" i="6"/>
  <c r="G30" i="6"/>
  <c r="G29" i="6"/>
  <c r="G28" i="6"/>
  <c r="D12" i="6"/>
  <c r="D24" i="6"/>
  <c r="D14" i="6"/>
  <c r="E24" i="6"/>
  <c r="G27" i="6"/>
  <c r="G26" i="6"/>
  <c r="D18" i="6"/>
  <c r="E26" i="6"/>
  <c r="D16" i="6"/>
  <c r="D26" i="6"/>
  <c r="G25" i="6"/>
  <c r="E25" i="6"/>
  <c r="D25" i="6"/>
  <c r="G24" i="6"/>
  <c r="G21" i="6"/>
  <c r="D21" i="6"/>
  <c r="G20" i="6"/>
  <c r="D15" i="6"/>
  <c r="D20" i="6"/>
  <c r="G19" i="6"/>
  <c r="D19" i="6"/>
  <c r="G18" i="6"/>
  <c r="K17" i="6"/>
  <c r="G17" i="6"/>
  <c r="D17" i="6"/>
  <c r="K16" i="6"/>
  <c r="G16" i="6"/>
  <c r="K15" i="6"/>
  <c r="G15" i="6"/>
  <c r="K14" i="6"/>
  <c r="G14" i="6"/>
  <c r="D13" i="6"/>
  <c r="K13" i="6"/>
  <c r="G13" i="6"/>
  <c r="K12" i="6"/>
  <c r="G12" i="6"/>
  <c r="D11" i="6"/>
  <c r="K11" i="6"/>
  <c r="G11" i="6"/>
  <c r="D10" i="6"/>
  <c r="K10" i="6"/>
  <c r="G10" i="6"/>
  <c r="D9" i="6"/>
  <c r="K9" i="6"/>
  <c r="G9" i="6"/>
  <c r="B42" i="5"/>
  <c r="G37" i="5"/>
  <c r="G29" i="5"/>
  <c r="G28" i="5"/>
  <c r="G27" i="5"/>
  <c r="G26" i="5"/>
  <c r="G25" i="5"/>
  <c r="G24" i="5"/>
  <c r="G23" i="5"/>
  <c r="G22" i="5"/>
  <c r="G21" i="5"/>
  <c r="D19" i="5"/>
  <c r="D15" i="5"/>
  <c r="E19" i="5"/>
  <c r="G20" i="5"/>
  <c r="G19" i="5"/>
  <c r="D14" i="5"/>
  <c r="K16" i="5"/>
  <c r="G16" i="5"/>
  <c r="D16" i="5"/>
  <c r="K15" i="5"/>
  <c r="G15" i="5"/>
  <c r="K14" i="5"/>
  <c r="G14" i="5"/>
  <c r="D13" i="5"/>
  <c r="K13" i="5"/>
  <c r="G13" i="5"/>
  <c r="D12" i="5"/>
  <c r="K12" i="5"/>
  <c r="G12" i="5"/>
  <c r="D11" i="5"/>
  <c r="K11" i="5"/>
  <c r="G11" i="5"/>
  <c r="D10" i="5"/>
  <c r="K10" i="5"/>
  <c r="G10" i="5"/>
  <c r="D9" i="5"/>
  <c r="K9" i="5"/>
  <c r="G9" i="5"/>
  <c r="C41" i="4"/>
  <c r="E36" i="4"/>
  <c r="G27" i="4"/>
  <c r="G26" i="4"/>
  <c r="G25" i="4"/>
  <c r="G24" i="4"/>
  <c r="G23" i="4"/>
  <c r="G22" i="4"/>
  <c r="G21" i="4"/>
  <c r="G20" i="4"/>
  <c r="D18" i="4"/>
  <c r="D14" i="4"/>
  <c r="E18" i="4"/>
  <c r="G19" i="4"/>
  <c r="G18" i="4"/>
  <c r="D15" i="4"/>
  <c r="K15" i="4"/>
  <c r="G15" i="4"/>
  <c r="K14" i="4"/>
  <c r="G14" i="4"/>
  <c r="D13" i="4"/>
  <c r="K13" i="4"/>
  <c r="G13" i="4"/>
  <c r="D12" i="4"/>
  <c r="K12" i="4"/>
  <c r="G12" i="4"/>
  <c r="D11" i="4"/>
  <c r="K11" i="4"/>
  <c r="G11" i="4"/>
  <c r="D10" i="4"/>
  <c r="K10" i="4"/>
  <c r="G10" i="4"/>
  <c r="D9" i="4"/>
  <c r="K9" i="4"/>
  <c r="G9" i="4"/>
  <c r="B39" i="3"/>
  <c r="G34" i="3"/>
  <c r="G26" i="3"/>
  <c r="G25" i="3"/>
  <c r="G24" i="3"/>
  <c r="G23" i="3"/>
  <c r="G22" i="3"/>
  <c r="G21" i="3"/>
  <c r="G20" i="3"/>
  <c r="G19" i="3"/>
  <c r="D17" i="3"/>
  <c r="D14" i="3"/>
  <c r="E17" i="3"/>
  <c r="G18" i="3"/>
  <c r="G17" i="3"/>
  <c r="K14" i="3"/>
  <c r="G14" i="3"/>
  <c r="D13" i="3"/>
  <c r="K13" i="3"/>
  <c r="G13" i="3"/>
  <c r="D12" i="3"/>
  <c r="K12" i="3"/>
  <c r="G12" i="3"/>
  <c r="D11" i="3"/>
  <c r="K11" i="3"/>
  <c r="G11" i="3"/>
  <c r="D10" i="3"/>
  <c r="K10" i="3"/>
  <c r="G10" i="3"/>
  <c r="D9" i="3"/>
  <c r="K9" i="3"/>
  <c r="G9" i="3"/>
  <c r="B46" i="2"/>
  <c r="G39" i="2"/>
  <c r="G28" i="2"/>
  <c r="G27" i="2"/>
  <c r="G26" i="2"/>
  <c r="G25" i="2"/>
  <c r="G24" i="2"/>
  <c r="G23" i="2"/>
  <c r="G22" i="2"/>
  <c r="G21" i="2"/>
  <c r="D13" i="2"/>
  <c r="D18" i="2"/>
  <c r="D15" i="2"/>
  <c r="E18" i="2"/>
  <c r="D19" i="2"/>
  <c r="D16" i="2"/>
  <c r="E19" i="2"/>
  <c r="G20" i="2"/>
  <c r="G19" i="2"/>
  <c r="G18" i="2"/>
  <c r="K16" i="2"/>
  <c r="G16" i="2"/>
  <c r="D14" i="2"/>
  <c r="K15" i="2"/>
  <c r="G15" i="2"/>
  <c r="K14" i="2"/>
  <c r="G14" i="2"/>
  <c r="D12" i="2"/>
  <c r="K13" i="2"/>
  <c r="G13" i="2"/>
  <c r="D11" i="2"/>
  <c r="K12" i="2"/>
  <c r="G12" i="2"/>
  <c r="D10" i="2"/>
  <c r="K11" i="2"/>
  <c r="G11" i="2"/>
  <c r="G10" i="2"/>
  <c r="B42" i="1"/>
  <c r="E35" i="1"/>
  <c r="G26" i="1"/>
  <c r="G25" i="1"/>
  <c r="G24" i="1"/>
  <c r="G23" i="1"/>
  <c r="G22" i="1"/>
  <c r="G21" i="1"/>
  <c r="G20" i="1"/>
  <c r="G19" i="1"/>
  <c r="D13" i="1"/>
  <c r="D17" i="1"/>
  <c r="D15" i="1"/>
  <c r="E17" i="1"/>
  <c r="G18" i="1"/>
  <c r="G17" i="1"/>
  <c r="D10" i="1"/>
  <c r="K15" i="1"/>
  <c r="G15" i="1"/>
  <c r="D14" i="1"/>
  <c r="K14" i="1"/>
  <c r="G14" i="1"/>
  <c r="K13" i="1"/>
  <c r="G13" i="1"/>
  <c r="D12" i="1"/>
  <c r="K12" i="1"/>
  <c r="G12" i="1"/>
  <c r="D11" i="1"/>
  <c r="K11" i="1"/>
  <c r="G11" i="1"/>
  <c r="K10" i="1"/>
  <c r="G10" i="1"/>
</calcChain>
</file>

<file path=xl/sharedStrings.xml><?xml version="1.0" encoding="utf-8"?>
<sst xmlns="http://schemas.openxmlformats.org/spreadsheetml/2006/main" count="1601" uniqueCount="399">
  <si>
    <t>VITTEMP</t>
  </si>
  <si>
    <t>PRECIO</t>
  </si>
  <si>
    <t xml:space="preserve"> VENTANERIA 5020  DOS HOJAS</t>
  </si>
  <si>
    <t>ALTURA</t>
  </si>
  <si>
    <t>CENTIMETROS</t>
  </si>
  <si>
    <t>M2</t>
  </si>
  <si>
    <t>ANCHO</t>
  </si>
  <si>
    <t>CANTIDAD</t>
  </si>
  <si>
    <t>REF. ALUMINIO</t>
  </si>
  <si>
    <t>REF. VIDRIO</t>
  </si>
  <si>
    <t>DESCRIPCION</t>
  </si>
  <si>
    <t>REF.</t>
  </si>
  <si>
    <t>MEDIDAS EN CENTIMETROS</t>
  </si>
  <si>
    <t>CANT UND.</t>
  </si>
  <si>
    <t>CORTE GRADOS</t>
  </si>
  <si>
    <t>CANTIDAD DE MATERIAL</t>
  </si>
  <si>
    <t xml:space="preserve">REF </t>
  </si>
  <si>
    <t xml:space="preserve">DESCRIPCION </t>
  </si>
  <si>
    <t>CANT. M.L</t>
  </si>
  <si>
    <t>MARCO</t>
  </si>
  <si>
    <t>CABEZAL</t>
  </si>
  <si>
    <t>ALNA-144</t>
  </si>
  <si>
    <t>CABEZAL 5020</t>
  </si>
  <si>
    <t>SILLAR</t>
  </si>
  <si>
    <t>ALNA-194</t>
  </si>
  <si>
    <t>SILLAR 5020</t>
  </si>
  <si>
    <t>JAMBA</t>
  </si>
  <si>
    <t>ALNB-193</t>
  </si>
  <si>
    <t>JAMBA 5020</t>
  </si>
  <si>
    <t>HOJAS</t>
  </si>
  <si>
    <t>ENGANCHE</t>
  </si>
  <si>
    <t>ALNB-147</t>
  </si>
  <si>
    <t>ENGANCHE 5020</t>
  </si>
  <si>
    <t>TRASLAPE</t>
  </si>
  <si>
    <t>ALNA-192</t>
  </si>
  <si>
    <t>TRASLAPE 5020</t>
  </si>
  <si>
    <t xml:space="preserve">HORIZONTAL </t>
  </si>
  <si>
    <t>ALNA-349</t>
  </si>
  <si>
    <t>HORIZONTAL  5020</t>
  </si>
  <si>
    <t>VIDRIOS</t>
  </si>
  <si>
    <t>4m.m.</t>
  </si>
  <si>
    <t xml:space="preserve">ANCHO </t>
  </si>
  <si>
    <t>EMPAQUE</t>
  </si>
  <si>
    <t>ML</t>
  </si>
  <si>
    <t>TORNILLERIA</t>
  </si>
  <si>
    <t>8 X 3/4 ¨</t>
  </si>
  <si>
    <t>8 X 1/2´</t>
  </si>
  <si>
    <t>8 X 1´</t>
  </si>
  <si>
    <t>REMACHES</t>
  </si>
  <si>
    <t>4 - 2´</t>
  </si>
  <si>
    <t>ROACHINAS</t>
  </si>
  <si>
    <t>AMERICANAS</t>
  </si>
  <si>
    <t xml:space="preserve"> CHAZOS</t>
  </si>
  <si>
    <t>GUIAS</t>
  </si>
  <si>
    <t>SEGURO</t>
  </si>
  <si>
    <t>PUNTO ROJO</t>
  </si>
  <si>
    <t>FECHA DE ORDEN</t>
  </si>
  <si>
    <t>FECHA DE ENTREGA</t>
  </si>
  <si>
    <t>OBSERVACIONES</t>
  </si>
  <si>
    <t>ENCARGADO</t>
  </si>
  <si>
    <t xml:space="preserve"> VENTANERIA 5020 TRES HOJAS</t>
  </si>
  <si>
    <t>DESCRICCION</t>
  </si>
  <si>
    <t>HOR, CORR.</t>
  </si>
  <si>
    <t>HOR.FIJO</t>
  </si>
  <si>
    <t>4 m.m</t>
  </si>
  <si>
    <t>HOJAS CORR.</t>
  </si>
  <si>
    <t>HOJA FIJA</t>
  </si>
  <si>
    <t>8 X 1¨</t>
  </si>
  <si>
    <t>8X 1/2</t>
  </si>
  <si>
    <t>8X 1 1/2¨</t>
  </si>
  <si>
    <t>CHAZOS</t>
  </si>
  <si>
    <t xml:space="preserve"> VENTANA 5020 CUATRO HOJAS</t>
  </si>
  <si>
    <t xml:space="preserve"> REF.ALUMINIO</t>
  </si>
  <si>
    <t>ANB-193</t>
  </si>
  <si>
    <t xml:space="preserve">VIDRIOS </t>
  </si>
  <si>
    <t>4 m.m.</t>
  </si>
  <si>
    <t>8 x 3/4¨</t>
  </si>
  <si>
    <t>8 x1 1/2¨</t>
  </si>
  <si>
    <t>8 X 1-2´</t>
  </si>
  <si>
    <t>1/4´´</t>
  </si>
  <si>
    <t>RODACHINAS</t>
  </si>
  <si>
    <t>PLASTICAS</t>
  </si>
  <si>
    <t xml:space="preserve">SEGURO </t>
  </si>
  <si>
    <t xml:space="preserve"> PUERTA 744 DE DOS HOJAS </t>
  </si>
  <si>
    <t>ANGULO CORTE</t>
  </si>
  <si>
    <t>ALN-392</t>
  </si>
  <si>
    <t>CABEZAL 744</t>
  </si>
  <si>
    <t>ALN-387</t>
  </si>
  <si>
    <t>SILLAR 744</t>
  </si>
  <si>
    <t>ALN-393</t>
  </si>
  <si>
    <t>JAMBA 744</t>
  </si>
  <si>
    <t xml:space="preserve">HOJAS </t>
  </si>
  <si>
    <t>ENGANCHE 744</t>
  </si>
  <si>
    <t>ALN-391</t>
  </si>
  <si>
    <t>TRASLAPE 744</t>
  </si>
  <si>
    <t>ALN-388</t>
  </si>
  <si>
    <t>HORIZONTAL SUP.</t>
  </si>
  <si>
    <t>ALN-389</t>
  </si>
  <si>
    <t>HORIZONTAL  744 SUP</t>
  </si>
  <si>
    <t>HORIZONTAL INF.</t>
  </si>
  <si>
    <t>ALNA-390</t>
  </si>
  <si>
    <t>HORIZONTAL  744 INF</t>
  </si>
  <si>
    <t>5 m. m.</t>
  </si>
  <si>
    <t>8 X 3/4 ¨ HOJAS</t>
  </si>
  <si>
    <t xml:space="preserve">8 X 1 1/2¨ </t>
  </si>
  <si>
    <t>8 X 1/2¨</t>
  </si>
  <si>
    <t>1/4¨</t>
  </si>
  <si>
    <t>744 ACERO</t>
  </si>
  <si>
    <t>744 INFERIORES</t>
  </si>
  <si>
    <t>744 SUPERIORES</t>
  </si>
  <si>
    <t>JAGUAR DOBLE</t>
  </si>
  <si>
    <t xml:space="preserve">PUERTA CORREDISA 744 DE CUATRO HOJAS </t>
  </si>
  <si>
    <t xml:space="preserve">CENTIMETROS </t>
  </si>
  <si>
    <t>CANT</t>
  </si>
  <si>
    <t>ADCTADOR 744</t>
  </si>
  <si>
    <t>ALN-403</t>
  </si>
  <si>
    <t>ALN403</t>
  </si>
  <si>
    <t>ADACTADOR 744</t>
  </si>
  <si>
    <t>5 mm</t>
  </si>
  <si>
    <t>8 X 1 1/2¨</t>
  </si>
  <si>
    <t>744 INF.</t>
  </si>
  <si>
    <t>744 SUP.</t>
  </si>
  <si>
    <t>HAGUAR DOBLE</t>
  </si>
  <si>
    <t>UÑERO DOBLE</t>
  </si>
  <si>
    <t xml:space="preserve"> PUERTA CORREDISA 744 DE 3 HOJAS 1 DE PARCHE</t>
  </si>
  <si>
    <t>ANGULO GRADOS</t>
  </si>
  <si>
    <t>HOJAS CORREDERAS</t>
  </si>
  <si>
    <t xml:space="preserve">ANGULO 3/4 *3/4 </t>
  </si>
  <si>
    <t>ANGULO 3/4 x 3/4</t>
  </si>
  <si>
    <t>ADACTADOR</t>
  </si>
  <si>
    <t>5 m.m.</t>
  </si>
  <si>
    <t xml:space="preserve"> HOJA FIJA</t>
  </si>
  <si>
    <t>ENGA, Y ENGAN.</t>
  </si>
  <si>
    <t>ENGA. Y TRASL.</t>
  </si>
  <si>
    <t xml:space="preserve">PUERTA CORREDERA 8025 DE CUATRO HOJAS </t>
  </si>
  <si>
    <t>CABEZAL 8025</t>
  </si>
  <si>
    <t>SILLAR 8025</t>
  </si>
  <si>
    <t>JAMBA 8025</t>
  </si>
  <si>
    <t>ENGANCHE 8025</t>
  </si>
  <si>
    <t>TRASLAPE 8025</t>
  </si>
  <si>
    <t>ADCTADOR 8025</t>
  </si>
  <si>
    <t>6 MM</t>
  </si>
  <si>
    <t>8025 ACERO</t>
  </si>
  <si>
    <t>8025 INF.</t>
  </si>
  <si>
    <t>8025  SUP.</t>
  </si>
  <si>
    <t xml:space="preserve"> PUERTA CORREDERA 8025 DE TRES HOJAS </t>
  </si>
  <si>
    <t>8025 INFERIORES</t>
  </si>
  <si>
    <t>8025 SUPERIORES</t>
  </si>
  <si>
    <t xml:space="preserve">                                         VITTEMP</t>
  </si>
  <si>
    <t xml:space="preserve"> PUERTA BATIENTE 1 1/2 X 1 1/2</t>
  </si>
  <si>
    <t>MEDIDA  CENTIMETROS</t>
  </si>
  <si>
    <t>U 2X1 SUPER CORRIDA</t>
  </si>
  <si>
    <t>PU-057</t>
  </si>
  <si>
    <t>TUBO  1 1/2 X 1 1/2 CON ADAPTADOR</t>
  </si>
  <si>
    <t>ALN-1101</t>
  </si>
  <si>
    <t>ADAPTADOR</t>
  </si>
  <si>
    <t>ALN-1175</t>
  </si>
  <si>
    <t>TUBO 3 X 1 1/2 CON ADAPTADDOR</t>
  </si>
  <si>
    <t>ALN-1102</t>
  </si>
  <si>
    <t>ANGULO CHAPETA 1x1¨</t>
  </si>
  <si>
    <t>PISAVIDRIO</t>
  </si>
  <si>
    <t>HORIZONTAL</t>
  </si>
  <si>
    <t>PARAL</t>
  </si>
  <si>
    <t>VIDRIO</t>
  </si>
  <si>
    <t>EMPAMQUE</t>
  </si>
  <si>
    <t>ESTRELLA</t>
  </si>
  <si>
    <t>POP.</t>
  </si>
  <si>
    <t xml:space="preserve">4 - 4¨ </t>
  </si>
  <si>
    <t>5 - 4¨</t>
  </si>
  <si>
    <t>TORNILLOS</t>
  </si>
  <si>
    <t>AVELLANADO</t>
  </si>
  <si>
    <t>8X 2 1/2</t>
  </si>
  <si>
    <t>CHAZO</t>
  </si>
  <si>
    <t xml:space="preserve"> 1/4¨</t>
  </si>
  <si>
    <t>BISAGRAS</t>
  </si>
  <si>
    <t>OMEGA</t>
  </si>
  <si>
    <t>CHAPA</t>
  </si>
  <si>
    <t>LLAVE-BOTON</t>
  </si>
  <si>
    <t xml:space="preserve"> PUERTA CORREDERA 8025 DE DOS HOJAS </t>
  </si>
  <si>
    <t>8025  ACERO</t>
  </si>
  <si>
    <t>8025  INFERIORES</t>
  </si>
  <si>
    <t>8025  SUPERIORES</t>
  </si>
  <si>
    <t xml:space="preserve">                                          VITTEMP</t>
  </si>
  <si>
    <t>REF. ACRILICO</t>
  </si>
  <si>
    <t>U 2X1 SUPERCORRIDA</t>
  </si>
  <si>
    <t>PARALES</t>
  </si>
  <si>
    <t xml:space="preserve"> PUERTA BATIENTE 3x1 1/2 PROYECTANTE</t>
  </si>
  <si>
    <t>SUPERIOR</t>
  </si>
  <si>
    <t>3X 1/2 CON ADAP</t>
  </si>
  <si>
    <t>ADAPATADOR</t>
  </si>
  <si>
    <t>LATERALES INF</t>
  </si>
  <si>
    <t>A. SUP</t>
  </si>
  <si>
    <t>FELPA</t>
  </si>
  <si>
    <t xml:space="preserve"> VENTANAL FIJO  PROYECTANTE</t>
  </si>
  <si>
    <t>MEDIDAS</t>
  </si>
  <si>
    <t>CABEZAL SILLAR</t>
  </si>
  <si>
    <t>ALNA-A-173</t>
  </si>
  <si>
    <t>ALN-A-174</t>
  </si>
  <si>
    <t>PISA VIDRIO</t>
  </si>
  <si>
    <t>ALN-635 CURVO</t>
  </si>
  <si>
    <t>REMACHE</t>
  </si>
  <si>
    <t>4-4"</t>
  </si>
  <si>
    <t>NORMAL</t>
  </si>
  <si>
    <t>8x1/2¨</t>
  </si>
  <si>
    <t>1/4"</t>
  </si>
  <si>
    <t>FIJO PROYECTANTE CON BASCULANTE 3831</t>
  </si>
  <si>
    <t>M. CENTIMETROS</t>
  </si>
  <si>
    <t>ALN-173</t>
  </si>
  <si>
    <t>ALN-174</t>
  </si>
  <si>
    <t>DIVISOR</t>
  </si>
  <si>
    <t>ALN-292</t>
  </si>
  <si>
    <t>HOJA</t>
  </si>
  <si>
    <t>Z DE HOJA  PARAL</t>
  </si>
  <si>
    <t>ALN-176</t>
  </si>
  <si>
    <t>Z DE HOJA  HORIZ</t>
  </si>
  <si>
    <t>HORIZONTALES FIJO</t>
  </si>
  <si>
    <t>PARALES  FIJO</t>
  </si>
  <si>
    <t>HORIZONTALES HOJA</t>
  </si>
  <si>
    <t>PARALES HOJA</t>
  </si>
  <si>
    <t>FIJO</t>
  </si>
  <si>
    <t>TORNILLO PAN</t>
  </si>
  <si>
    <t>8X 3/4</t>
  </si>
  <si>
    <t>MANIJA</t>
  </si>
  <si>
    <t xml:space="preserve">BASCULANTE </t>
  </si>
  <si>
    <t>BRAZO</t>
  </si>
  <si>
    <t>8"</t>
  </si>
  <si>
    <t>FIJO PROYECTANTE CON 2 BASCULANTE 3831</t>
  </si>
  <si>
    <t>LATERALES FIJO</t>
  </si>
  <si>
    <t>LATERALES HOJA</t>
  </si>
  <si>
    <t xml:space="preserve">PUERTA CORREDERA 7038  DE CUATRO HOJAS </t>
  </si>
  <si>
    <t>ALN-700</t>
  </si>
  <si>
    <t>ALN-775</t>
  </si>
  <si>
    <t>ALN-702</t>
  </si>
  <si>
    <t>ALN-705</t>
  </si>
  <si>
    <t>ALN-704</t>
  </si>
  <si>
    <t>ALN-703</t>
  </si>
  <si>
    <t>HSP-019</t>
  </si>
  <si>
    <t>6 mm</t>
  </si>
  <si>
    <t>10 X 1 ¨</t>
  </si>
  <si>
    <t>10 X 2 ¨</t>
  </si>
  <si>
    <t>7038 SUP</t>
  </si>
  <si>
    <t>7038 INF</t>
  </si>
  <si>
    <t>ALUMINIO</t>
  </si>
  <si>
    <t xml:space="preserve">OVERSEA </t>
  </si>
  <si>
    <t xml:space="preserve"> PUERTA 7038 DE 2 HOJAS</t>
  </si>
  <si>
    <t>HORISONTAL SUP.</t>
  </si>
  <si>
    <t>10X1</t>
  </si>
  <si>
    <t>10X2</t>
  </si>
  <si>
    <t>OVERSEA</t>
  </si>
  <si>
    <t xml:space="preserve"> DIVIBAÑO EN ACRILICO</t>
  </si>
  <si>
    <t>ALNA-346</t>
  </si>
  <si>
    <t>S-597</t>
  </si>
  <si>
    <t>ALN-343</t>
  </si>
  <si>
    <t>U LIVIANA PA</t>
  </si>
  <si>
    <t>S-596</t>
  </si>
  <si>
    <t>U LIVIANA H.</t>
  </si>
  <si>
    <t>TOALLERO</t>
  </si>
  <si>
    <t>BARRA T.</t>
  </si>
  <si>
    <t>ALN-234</t>
  </si>
  <si>
    <t>SOPORTE T.</t>
  </si>
  <si>
    <t>S-1362</t>
  </si>
  <si>
    <t>S-540</t>
  </si>
  <si>
    <t>CHAPETAS</t>
  </si>
  <si>
    <t>ANGULO 1x1¨</t>
  </si>
  <si>
    <t>A-011</t>
  </si>
  <si>
    <t>ACRILICO</t>
  </si>
  <si>
    <t>HOJA CORR.</t>
  </si>
  <si>
    <t>DIVIBAÑO</t>
  </si>
  <si>
    <t>TRIANGULO</t>
  </si>
  <si>
    <t>PAN</t>
  </si>
  <si>
    <t>8x1"</t>
  </si>
  <si>
    <t>8x1¨</t>
  </si>
  <si>
    <t>PLASTICO</t>
  </si>
  <si>
    <t xml:space="preserve"> PUERTA VATIENTE U. LIVIANA</t>
  </si>
  <si>
    <t>BOTAGUA CORRIENTE</t>
  </si>
  <si>
    <t>S.268</t>
  </si>
  <si>
    <t>TRASLAPE DE 744</t>
  </si>
  <si>
    <t>ENCHAPE BLANCO</t>
  </si>
  <si>
    <t>4 - 4¨</t>
  </si>
  <si>
    <t>TORNILLO</t>
  </si>
  <si>
    <t>10*2"</t>
  </si>
  <si>
    <t>BISAGRA</t>
  </si>
  <si>
    <t>DIVISION DE BAÑO ALUMINIO</t>
  </si>
  <si>
    <t>ALEMAN</t>
  </si>
  <si>
    <t xml:space="preserve"> PUERTA CORREDISA 7038 DE 3 HOJAS 1 DE PARCHE</t>
  </si>
  <si>
    <t>ENGANCHE 7038</t>
  </si>
  <si>
    <t>TRASLAPE 7038</t>
  </si>
  <si>
    <t>HORIONTAL INF.</t>
  </si>
  <si>
    <t>10x1</t>
  </si>
  <si>
    <t>ALACENA EN U. DE DOS HOJAS CORREDERAS</t>
  </si>
  <si>
    <t>REF. ACRILICOS</t>
  </si>
  <si>
    <t>MEDIDAS EN MILIMETROS</t>
  </si>
  <si>
    <t>SILLAR DIV DE BAÑO</t>
  </si>
  <si>
    <t>CABEZAL DIV DE BAÑO</t>
  </si>
  <si>
    <t>JAMBAS U.</t>
  </si>
  <si>
    <t>U LIVIANA PARAL</t>
  </si>
  <si>
    <t>U LIVIANA H SUP</t>
  </si>
  <si>
    <t>CHAPETAS 1X1¨</t>
  </si>
  <si>
    <t>ACRILICOS</t>
  </si>
  <si>
    <t>DE PISO</t>
  </si>
  <si>
    <t>1 / 4¨</t>
  </si>
  <si>
    <t>MANIJAS</t>
  </si>
  <si>
    <t>ALUMINIO DIVISION DE BAÑO</t>
  </si>
  <si>
    <t xml:space="preserve"> VENTANA  5020</t>
  </si>
  <si>
    <t>VENTANERIA 5020 CURVA</t>
  </si>
  <si>
    <t>REF</t>
  </si>
  <si>
    <t xml:space="preserve">DESCRICCION </t>
  </si>
  <si>
    <t>PRECIO METROS</t>
  </si>
  <si>
    <t>PRECIO TRAMO</t>
  </si>
  <si>
    <t>PRECIO MT</t>
  </si>
  <si>
    <t>ALNA.144</t>
  </si>
  <si>
    <t>ALNA. 194</t>
  </si>
  <si>
    <t xml:space="preserve">SILLAR </t>
  </si>
  <si>
    <t>ALNB. 193</t>
  </si>
  <si>
    <t>ALNB. 147</t>
  </si>
  <si>
    <t>ALNA. 192</t>
  </si>
  <si>
    <t>ALNA. 349</t>
  </si>
  <si>
    <t>ALN. 581</t>
  </si>
  <si>
    <t>SILLAR ALFAJIA</t>
  </si>
  <si>
    <t>RETICULA</t>
  </si>
  <si>
    <t>VENTANAS 744</t>
  </si>
  <si>
    <t>PRECIO VENTANERIA 5020 PLUS</t>
  </si>
  <si>
    <t>PRECIO METRO</t>
  </si>
  <si>
    <t xml:space="preserve">CABEZAL </t>
  </si>
  <si>
    <t>ALN - 392</t>
  </si>
  <si>
    <t>ALN - 387</t>
  </si>
  <si>
    <t>ALN - 393</t>
  </si>
  <si>
    <t>ALN - 391</t>
  </si>
  <si>
    <t>ALN - 388</t>
  </si>
  <si>
    <t>ALN - 389</t>
  </si>
  <si>
    <t>HOR. SUPERIOR</t>
  </si>
  <si>
    <t>ALN - 390</t>
  </si>
  <si>
    <t>HOR. INFERIOR</t>
  </si>
  <si>
    <t>ALN - 403</t>
  </si>
  <si>
    <t xml:space="preserve">DIVISIONES DE BAÑO ACRILICO </t>
  </si>
  <si>
    <t>u</t>
  </si>
  <si>
    <t>SILLAR CABEZAL</t>
  </si>
  <si>
    <t xml:space="preserve">RIEL </t>
  </si>
  <si>
    <t>PISAVIDRIO CURVO</t>
  </si>
  <si>
    <t>JAMBA 6mt</t>
  </si>
  <si>
    <t>T PROYECTANTE</t>
  </si>
  <si>
    <t>U LIVIANA</t>
  </si>
  <si>
    <t>ADAPTADOR PROYECTANTE</t>
  </si>
  <si>
    <t>BARRA TOALLERO</t>
  </si>
  <si>
    <t>SOPORTE TOALL</t>
  </si>
  <si>
    <t>EMPAQUE BURBUJA</t>
  </si>
  <si>
    <t>EMPAQUE ESTRELLITA</t>
  </si>
  <si>
    <t xml:space="preserve">ACRILICO </t>
  </si>
  <si>
    <t xml:space="preserve">EMPAQUE </t>
  </si>
  <si>
    <t>OTROS PERFILES</t>
  </si>
  <si>
    <t>TAPA PASAMANOS</t>
  </si>
  <si>
    <t>TUBOS</t>
  </si>
  <si>
    <t>PERSIANA FIJA</t>
  </si>
  <si>
    <t>REVESTIMIENTO PLANO</t>
  </si>
  <si>
    <t>1X1 (1)</t>
  </si>
  <si>
    <t>ANGULO 1/2</t>
  </si>
  <si>
    <t>1X1 (2)</t>
  </si>
  <si>
    <t>PISAVIDRIO 1/2X3/8</t>
  </si>
  <si>
    <t>1X1 LISO</t>
  </si>
  <si>
    <t>1X1 1/4 CIRCULO 1</t>
  </si>
  <si>
    <t>1 1/2 X 1 1/2 CON ADAPTA</t>
  </si>
  <si>
    <t>1 1/2 X 1 1/2 1/4 CIRCULO</t>
  </si>
  <si>
    <t>1 1/2 X 1 1/2 LISO</t>
  </si>
  <si>
    <t>TUBO RANURADO</t>
  </si>
  <si>
    <t>2X1 LISO</t>
  </si>
  <si>
    <t>RIEL CLOSET</t>
  </si>
  <si>
    <t>2X1 (2) SUPER</t>
  </si>
  <si>
    <t>ACRILICO 120</t>
  </si>
  <si>
    <t>2x1 (1)super</t>
  </si>
  <si>
    <t>ACRILICO 100</t>
  </si>
  <si>
    <t>2x1 (1) descentr</t>
  </si>
  <si>
    <t>AJOENCHAPE</t>
  </si>
  <si>
    <t>3X1 1/2 adapt</t>
  </si>
  <si>
    <t>ACRILICO 70</t>
  </si>
  <si>
    <t>3/4x 1 1/2 liso</t>
  </si>
  <si>
    <t>ACRILICO ADRI</t>
  </si>
  <si>
    <t>3/4 liso</t>
  </si>
  <si>
    <t>1X1 1/4 CIRCULO (2)</t>
  </si>
  <si>
    <t>5/8 liso</t>
  </si>
  <si>
    <t>1 1/2 X 1 1/2 1/4 CIRCULO (2)</t>
  </si>
  <si>
    <t>5/8 (1)</t>
  </si>
  <si>
    <t>SISTEMA U</t>
  </si>
  <si>
    <t>5/8 (2)</t>
  </si>
  <si>
    <t>U 2X1 SUPER SUPER</t>
  </si>
  <si>
    <t>3x 1 1/2 liso</t>
  </si>
  <si>
    <t>MOSQUITERO</t>
  </si>
  <si>
    <t>3x1 liso</t>
  </si>
  <si>
    <t>U 3X1</t>
  </si>
  <si>
    <t>PRECIO CORTE</t>
  </si>
  <si>
    <t>PRECIO LAMINA</t>
  </si>
  <si>
    <t>3 MM</t>
  </si>
  <si>
    <t>4 MM</t>
  </si>
  <si>
    <t>VENTANAS 744 CURVO</t>
  </si>
  <si>
    <t>5 MM</t>
  </si>
  <si>
    <t>VENTANAS 8025</t>
  </si>
  <si>
    <t>VENTANAS 8025 CURVO</t>
  </si>
  <si>
    <t>PUERTAS 7038</t>
  </si>
  <si>
    <t xml:space="preserve">       </t>
  </si>
  <si>
    <t>SEGURO JAGUAR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</si>
</sst>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€_-;\-* #,##0\ _€_-;_-* &quot;-&quot;??\ _€_-;_-@"/>
    <numFmt numFmtId="165" formatCode="_-&quot;$&quot;* #,##0_-;\-&quot;$&quot;* #,##0_-;_-&quot;$&quot;* &quot;-&quot;??_-;_-@"/>
    <numFmt numFmtId="166" formatCode="0.0"/>
    <numFmt numFmtId="167" formatCode="[$-40A]dd\-mmm"/>
    <numFmt numFmtId="168" formatCode="_-[$$-240A]\ * #,##0_ ;_-[$$-240A]\ * \-#,##0\ ;_-[$$-240A]\ * &quot;-&quot;??_ ;_-@_ "/>
    <numFmt numFmtId="169" formatCode="#,##0;[Red]#,##0"/>
  </numFmts>
  <fonts count="53" x14ac:knownFonts="1">
    <font>
      <sz val="11"/>
      <color rgb="FF000000"/>
      <name val="Calibri"/>
    </font>
    <font>
      <b/>
      <sz val="18"/>
      <name val="Arial"/>
    </font>
    <font>
      <sz val="11"/>
      <name val="Calibri"/>
    </font>
    <font>
      <b/>
      <sz val="16"/>
      <color rgb="FFFF0000"/>
      <name val="Calibri"/>
    </font>
    <font>
      <b/>
      <sz val="16"/>
      <color rgb="FFFF0000"/>
      <name val="Arial"/>
    </font>
    <font>
      <b/>
      <sz val="16"/>
      <name val="Arial"/>
    </font>
    <font>
      <sz val="16"/>
      <color rgb="FFFF0000"/>
      <name val="Calibri"/>
    </font>
    <font>
      <b/>
      <sz val="14"/>
      <name val="Arial"/>
    </font>
    <font>
      <sz val="11"/>
      <color rgb="FFFF0000"/>
      <name val="Calibri"/>
    </font>
    <font>
      <b/>
      <sz val="9"/>
      <name val="Arial"/>
    </font>
    <font>
      <b/>
      <sz val="16"/>
      <color rgb="FF000000"/>
      <name val="Calibri"/>
    </font>
    <font>
      <b/>
      <sz val="12"/>
      <name val="Arial"/>
    </font>
    <font>
      <b/>
      <sz val="10"/>
      <name val="Arial"/>
    </font>
    <font>
      <b/>
      <sz val="12"/>
      <color rgb="FF4473C4"/>
      <name val="Arial"/>
    </font>
    <font>
      <b/>
      <sz val="14"/>
      <color rgb="FF4473C4"/>
      <name val="Arial"/>
    </font>
    <font>
      <b/>
      <sz val="10"/>
      <color rgb="FF4473C4"/>
      <name val="Arial"/>
    </font>
    <font>
      <b/>
      <sz val="9"/>
      <color rgb="FF4473C4"/>
      <name val="Arial"/>
    </font>
    <font>
      <b/>
      <sz val="14"/>
      <color rgb="FFFF0000"/>
      <name val="Arial"/>
    </font>
    <font>
      <b/>
      <sz val="10"/>
      <color rgb="FF0070C0"/>
      <name val="Arial"/>
    </font>
    <font>
      <b/>
      <sz val="12"/>
      <color rgb="FF0070C0"/>
      <name val="Arial"/>
    </font>
    <font>
      <b/>
      <sz val="8"/>
      <color rgb="FF0070C0"/>
      <name val="Arial"/>
    </font>
    <font>
      <b/>
      <sz val="11"/>
      <color rgb="FF000000"/>
      <name val="Calibri"/>
    </font>
    <font>
      <b/>
      <sz val="16"/>
      <color rgb="FF5C9BD5"/>
      <name val="Arial"/>
    </font>
    <font>
      <b/>
      <sz val="10"/>
      <color rgb="FF5C9BD5"/>
      <name val="Arial"/>
    </font>
    <font>
      <b/>
      <sz val="11"/>
      <name val="Arial"/>
    </font>
    <font>
      <sz val="10"/>
      <name val="Arial"/>
    </font>
    <font>
      <sz val="16"/>
      <color rgb="FFFF0000"/>
      <name val="Arial"/>
    </font>
    <font>
      <sz val="10"/>
      <color rgb="FFFF0000"/>
      <name val="Arial"/>
    </font>
    <font>
      <sz val="16"/>
      <name val="Arial"/>
    </font>
    <font>
      <sz val="14"/>
      <color rgb="FFFF0000"/>
      <name val="Arial"/>
    </font>
    <font>
      <sz val="10"/>
      <color rgb="FF000080"/>
      <name val="Arial"/>
    </font>
    <font>
      <b/>
      <sz val="18"/>
      <color rgb="FFFF0000"/>
      <name val="Arial"/>
    </font>
    <font>
      <b/>
      <sz val="14"/>
      <color rgb="FF000000"/>
      <name val="Arial"/>
    </font>
    <font>
      <sz val="14"/>
      <color rgb="FF000080"/>
      <name val="Arial"/>
    </font>
    <font>
      <b/>
      <sz val="16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4473C4"/>
      <name val="Arial"/>
    </font>
    <font>
      <b/>
      <sz val="18"/>
      <color rgb="FF000000"/>
      <name val="Calibri"/>
    </font>
    <font>
      <b/>
      <sz val="8"/>
      <name val="Arial"/>
    </font>
    <font>
      <b/>
      <i/>
      <sz val="10"/>
      <name val="Arial"/>
    </font>
    <font>
      <sz val="10"/>
      <color rgb="FFFFFFFF"/>
      <name val="Arial"/>
    </font>
    <font>
      <sz val="12"/>
      <color rgb="FFFF0000"/>
      <name val="Calibri"/>
    </font>
    <font>
      <b/>
      <sz val="16"/>
      <color rgb="FFFFBF00"/>
      <name val="Arial"/>
    </font>
    <font>
      <sz val="10"/>
      <color rgb="FFCCFFFF"/>
      <name val="Arial"/>
    </font>
    <font>
      <b/>
      <sz val="14"/>
      <color rgb="FFFFBF00"/>
      <name val="Arial"/>
    </font>
    <font>
      <b/>
      <sz val="14"/>
      <color rgb="FF5C9BD5"/>
      <name val="Arial"/>
    </font>
    <font>
      <b/>
      <sz val="16"/>
      <color rgb="FF333399"/>
      <name val="Arial"/>
    </font>
    <font>
      <sz val="10"/>
      <color rgb="FF333399"/>
      <name val="Arial"/>
    </font>
    <font>
      <sz val="16"/>
      <color rgb="FF333399"/>
      <name val="Arial"/>
    </font>
    <font>
      <sz val="10"/>
      <color rgb="FF4473C4"/>
      <name val="Arial"/>
    </font>
  </fonts>
  <fills count="4">
    <fill>
      <patternFill patternType="none"/>
    </fill>
    <fill>
      <patternFill patternType="gray125"/>
    </fill>
    <fill>
      <patternFill patternType="solid">
        <fgColor rgb="FFD5DCE4"/>
        <bgColor rgb="FFD5DCE4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30">
    <xf numFmtId="0" fontId="0" fillId="0" borderId="0" xfId="0" applyFont="1" applyAlignment="1">
      <alignment vertical="center"/>
    </xf>
    <xf numFmtId="164" fontId="3" fillId="0" borderId="4" xfId="0" applyNumberFormat="1" applyFont="1" applyBorder="1" applyAlignment="1">
      <alignment horizontal="center"/>
    </xf>
    <xf numFmtId="0" fontId="0" fillId="0" borderId="0" xfId="0" applyFont="1" applyAlignment="1"/>
    <xf numFmtId="165" fontId="4" fillId="0" borderId="4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5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/>
    <xf numFmtId="0" fontId="15" fillId="2" borderId="4" xfId="0" applyFont="1" applyFill="1" applyBorder="1" applyAlignment="1">
      <alignment horizontal="center"/>
    </xf>
    <xf numFmtId="166" fontId="15" fillId="2" borderId="4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4" xfId="0" applyFont="1" applyBorder="1" applyAlignment="1"/>
    <xf numFmtId="0" fontId="12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7" fontId="12" fillId="0" borderId="4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0" fillId="0" borderId="0" xfId="0" applyNumberFormat="1" applyFont="1" applyAlignment="1"/>
    <xf numFmtId="12" fontId="12" fillId="0" borderId="4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4" fontId="0" fillId="0" borderId="0" xfId="0" applyNumberFormat="1" applyFont="1" applyAlignment="1"/>
    <xf numFmtId="166" fontId="6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6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166" fontId="8" fillId="3" borderId="4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/>
    <xf numFmtId="0" fontId="18" fillId="2" borderId="4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vertical="center"/>
    </xf>
    <xf numFmtId="166" fontId="18" fillId="2" borderId="4" xfId="0" applyNumberFormat="1" applyFont="1" applyFill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166" fontId="21" fillId="0" borderId="0" xfId="0" applyNumberFormat="1" applyFont="1" applyAlignment="1"/>
    <xf numFmtId="0" fontId="7" fillId="0" borderId="0" xfId="0" applyFont="1" applyAlignment="1">
      <alignment horizontal="center"/>
    </xf>
    <xf numFmtId="166" fontId="0" fillId="0" borderId="0" xfId="0" applyNumberFormat="1" applyFont="1" applyAlignment="1"/>
    <xf numFmtId="165" fontId="4" fillId="0" borderId="4" xfId="0" applyNumberFormat="1" applyFont="1" applyBorder="1" applyAlignment="1"/>
    <xf numFmtId="1" fontId="3" fillId="0" borderId="4" xfId="0" applyNumberFormat="1" applyFont="1" applyBorder="1" applyAlignment="1">
      <alignment horizontal="center"/>
    </xf>
    <xf numFmtId="164" fontId="6" fillId="0" borderId="0" xfId="0" applyNumberFormat="1" applyFont="1" applyAlignment="1"/>
    <xf numFmtId="0" fontId="5" fillId="0" borderId="4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5" fillId="0" borderId="0" xfId="0" applyFont="1" applyAlignment="1"/>
    <xf numFmtId="0" fontId="2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shrinkToFit="1"/>
    </xf>
    <xf numFmtId="0" fontId="27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25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6" fontId="25" fillId="0" borderId="0" xfId="0" applyNumberFormat="1" applyFont="1" applyAlignment="1"/>
    <xf numFmtId="166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6" fontId="26" fillId="0" borderId="0" xfId="0" applyNumberFormat="1" applyFont="1" applyAlignment="1">
      <alignment horizontal="center"/>
    </xf>
    <xf numFmtId="165" fontId="26" fillId="0" borderId="4" xfId="0" applyNumberFormat="1" applyFont="1" applyBorder="1" applyAlignment="1">
      <alignment horizontal="center"/>
    </xf>
    <xf numFmtId="0" fontId="30" fillId="0" borderId="0" xfId="0" applyFont="1" applyAlignment="1"/>
    <xf numFmtId="164" fontId="26" fillId="0" borderId="4" xfId="0" applyNumberFormat="1" applyFont="1" applyBorder="1" applyAlignment="1">
      <alignment horizontal="center"/>
    </xf>
    <xf numFmtId="0" fontId="33" fillId="0" borderId="0" xfId="0" applyFont="1" applyAlignment="1"/>
    <xf numFmtId="0" fontId="34" fillId="0" borderId="3" xfId="0" applyFont="1" applyBorder="1" applyAlignment="1">
      <alignment horizontal="center" vertical="center" shrinkToFit="1"/>
    </xf>
    <xf numFmtId="1" fontId="17" fillId="0" borderId="4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2" fillId="0" borderId="4" xfId="0" applyFont="1" applyBorder="1" applyAlignment="1">
      <alignment horizontal="center" vertical="center" shrinkToFit="1"/>
    </xf>
    <xf numFmtId="0" fontId="35" fillId="0" borderId="4" xfId="0" applyFont="1" applyBorder="1" applyAlignment="1">
      <alignment horizontal="center"/>
    </xf>
    <xf numFmtId="0" fontId="36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/>
    </xf>
    <xf numFmtId="166" fontId="27" fillId="0" borderId="4" xfId="0" applyNumberFormat="1" applyFont="1" applyBorder="1" applyAlignment="1">
      <alignment horizontal="center"/>
    </xf>
    <xf numFmtId="164" fontId="30" fillId="0" borderId="0" xfId="0" applyNumberFormat="1" applyFont="1" applyAlignment="1"/>
    <xf numFmtId="0" fontId="35" fillId="0" borderId="24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0" fillId="0" borderId="0" xfId="0" applyFont="1" applyAlignment="1">
      <alignment horizontal="center"/>
    </xf>
    <xf numFmtId="166" fontId="30" fillId="0" borderId="0" xfId="0" applyNumberFormat="1" applyFont="1" applyAlignment="1">
      <alignment vertical="center" wrapText="1"/>
    </xf>
    <xf numFmtId="164" fontId="4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/>
    </xf>
    <xf numFmtId="164" fontId="25" fillId="0" borderId="4" xfId="0" applyNumberFormat="1" applyFont="1" applyBorder="1" applyAlignment="1"/>
    <xf numFmtId="164" fontId="25" fillId="0" borderId="0" xfId="0" applyNumberFormat="1" applyFont="1" applyAlignment="1"/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166" fontId="25" fillId="0" borderId="0" xfId="0" applyNumberFormat="1" applyFont="1" applyAlignment="1">
      <alignment horizontal="center"/>
    </xf>
    <xf numFmtId="168" fontId="26" fillId="0" borderId="4" xfId="0" applyNumberFormat="1" applyFont="1" applyBorder="1" applyAlignment="1">
      <alignment horizontal="center"/>
    </xf>
    <xf numFmtId="166" fontId="38" fillId="0" borderId="0" xfId="0" applyNumberFormat="1" applyFont="1" applyAlignment="1">
      <alignment vertical="center" wrapText="1"/>
    </xf>
    <xf numFmtId="166" fontId="17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66" fontId="6" fillId="0" borderId="0" xfId="0" applyNumberFormat="1" applyFont="1" applyAlignment="1"/>
    <xf numFmtId="0" fontId="40" fillId="0" borderId="1" xfId="0" applyFont="1" applyBorder="1" applyAlignment="1"/>
    <xf numFmtId="0" fontId="40" fillId="0" borderId="2" xfId="0" applyFont="1" applyBorder="1" applyAlignment="1"/>
    <xf numFmtId="0" fontId="40" fillId="0" borderId="3" xfId="0" applyFont="1" applyBorder="1" applyAlignment="1"/>
    <xf numFmtId="165" fontId="6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6" fontId="27" fillId="0" borderId="4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164" fontId="0" fillId="0" borderId="3" xfId="0" applyNumberFormat="1" applyFont="1" applyBorder="1" applyAlignment="1"/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vertical="center" wrapText="1"/>
    </xf>
    <xf numFmtId="166" fontId="15" fillId="2" borderId="4" xfId="0" applyNumberFormat="1" applyFont="1" applyFill="1" applyBorder="1" applyAlignment="1">
      <alignment horizontal="center" vertical="center" wrapText="1"/>
    </xf>
    <xf numFmtId="166" fontId="15" fillId="2" borderId="29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/>
    <xf numFmtId="0" fontId="43" fillId="0" borderId="0" xfId="0" applyFont="1" applyAlignment="1"/>
    <xf numFmtId="166" fontId="43" fillId="0" borderId="0" xfId="0" applyNumberFormat="1" applyFont="1" applyAlignment="1"/>
    <xf numFmtId="0" fontId="6" fillId="0" borderId="0" xfId="0" applyFont="1" applyAlignment="1">
      <alignment horizontal="center"/>
    </xf>
    <xf numFmtId="164" fontId="0" fillId="0" borderId="0" xfId="0" applyNumberFormat="1" applyFont="1" applyAlignment="1">
      <alignment horizontal="right"/>
    </xf>
    <xf numFmtId="16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2" xfId="0" applyFont="1" applyBorder="1" applyAlignment="1"/>
    <xf numFmtId="165" fontId="3" fillId="0" borderId="4" xfId="0" applyNumberFormat="1" applyFont="1" applyBorder="1" applyAlignment="1">
      <alignment horizontal="center"/>
    </xf>
    <xf numFmtId="166" fontId="44" fillId="3" borderId="4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/>
    </xf>
    <xf numFmtId="0" fontId="44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6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0" fillId="0" borderId="15" xfId="0" applyFont="1" applyBorder="1" applyAlignment="1"/>
    <xf numFmtId="166" fontId="5" fillId="0" borderId="4" xfId="0" applyNumberFormat="1" applyFont="1" applyBorder="1" applyAlignment="1">
      <alignment horizontal="center"/>
    </xf>
    <xf numFmtId="166" fontId="45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166" fontId="15" fillId="0" borderId="4" xfId="0" applyNumberFormat="1" applyFont="1" applyBorder="1" applyAlignment="1">
      <alignment vertical="center" wrapText="1"/>
    </xf>
    <xf numFmtId="0" fontId="15" fillId="0" borderId="4" xfId="0" applyFont="1" applyBorder="1" applyAlignment="1">
      <alignment horizontal="center"/>
    </xf>
    <xf numFmtId="166" fontId="15" fillId="0" borderId="11" xfId="0" applyNumberFormat="1" applyFont="1" applyBorder="1" applyAlignment="1">
      <alignment vertical="center" wrapText="1"/>
    </xf>
    <xf numFmtId="166" fontId="26" fillId="0" borderId="0" xfId="0" applyNumberFormat="1" applyFont="1" applyAlignment="1"/>
    <xf numFmtId="166" fontId="15" fillId="0" borderId="4" xfId="0" applyNumberFormat="1" applyFont="1" applyBorder="1" applyAlignment="1">
      <alignment horizontal="center" vertical="center" wrapText="1"/>
    </xf>
    <xf numFmtId="166" fontId="15" fillId="0" borderId="11" xfId="0" applyNumberFormat="1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6" fontId="47" fillId="0" borderId="4" xfId="0" applyNumberFormat="1" applyFont="1" applyBorder="1" applyAlignment="1">
      <alignment horizontal="center"/>
    </xf>
    <xf numFmtId="0" fontId="35" fillId="0" borderId="24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7" fillId="0" borderId="24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2" fillId="0" borderId="4" xfId="0" applyFont="1" applyBorder="1" applyAlignment="1"/>
    <xf numFmtId="166" fontId="23" fillId="0" borderId="4" xfId="0" applyNumberFormat="1" applyFont="1" applyBorder="1" applyAlignment="1">
      <alignment horizontal="center"/>
    </xf>
    <xf numFmtId="0" fontId="12" fillId="0" borderId="11" xfId="0" applyFont="1" applyBorder="1" applyAlignment="1"/>
    <xf numFmtId="0" fontId="7" fillId="0" borderId="24" xfId="0" applyFont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/>
    <xf numFmtId="0" fontId="50" fillId="0" borderId="0" xfId="0" applyFont="1" applyAlignment="1"/>
    <xf numFmtId="166" fontId="50" fillId="0" borderId="0" xfId="0" applyNumberFormat="1" applyFont="1" applyAlignment="1"/>
    <xf numFmtId="166" fontId="45" fillId="3" borderId="4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3" borderId="37" xfId="0" applyFont="1" applyFill="1" applyBorder="1" applyAlignment="1"/>
    <xf numFmtId="0" fontId="7" fillId="3" borderId="38" xfId="0" applyFont="1" applyFill="1" applyBorder="1" applyAlignment="1"/>
    <xf numFmtId="0" fontId="0" fillId="3" borderId="39" xfId="0" applyFont="1" applyFill="1" applyBorder="1" applyAlignment="1"/>
    <xf numFmtId="166" fontId="6" fillId="3" borderId="39" xfId="0" applyNumberFormat="1" applyFont="1" applyFill="1" applyBorder="1" applyAlignment="1"/>
    <xf numFmtId="166" fontId="0" fillId="3" borderId="39" xfId="0" applyNumberFormat="1" applyFont="1" applyFill="1" applyBorder="1" applyAlignment="1"/>
    <xf numFmtId="0" fontId="1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66" fontId="47" fillId="3" borderId="4" xfId="0" applyNumberFormat="1" applyFont="1" applyFill="1" applyBorder="1" applyAlignment="1">
      <alignment horizontal="center"/>
    </xf>
    <xf numFmtId="0" fontId="5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2" fillId="3" borderId="41" xfId="0" applyFont="1" applyFill="1" applyBorder="1" applyAlignment="1">
      <alignment vertical="center" textRotation="255" wrapText="1"/>
    </xf>
    <xf numFmtId="0" fontId="12" fillId="3" borderId="42" xfId="0" applyFont="1" applyFill="1" applyBorder="1" applyAlignment="1">
      <alignment vertical="center" textRotation="255" wrapText="1"/>
    </xf>
    <xf numFmtId="0" fontId="11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66" fontId="0" fillId="3" borderId="39" xfId="0" applyNumberFormat="1" applyFont="1" applyFill="1" applyBorder="1" applyAlignment="1">
      <alignment horizontal="center"/>
    </xf>
    <xf numFmtId="0" fontId="0" fillId="3" borderId="39" xfId="0" applyFont="1" applyFill="1" applyBorder="1" applyAlignment="1">
      <alignment horizontal="center"/>
    </xf>
    <xf numFmtId="166" fontId="6" fillId="3" borderId="39" xfId="0" applyNumberFormat="1" applyFont="1" applyFill="1" applyBorder="1" applyAlignment="1">
      <alignment horizontal="center"/>
    </xf>
    <xf numFmtId="0" fontId="0" fillId="0" borderId="24" xfId="0" applyFont="1" applyBorder="1" applyAlignment="1"/>
    <xf numFmtId="0" fontId="0" fillId="0" borderId="44" xfId="0" applyFont="1" applyBorder="1" applyAlignment="1"/>
    <xf numFmtId="164" fontId="0" fillId="0" borderId="4" xfId="0" applyNumberFormat="1" applyFont="1" applyBorder="1" applyAlignment="1"/>
    <xf numFmtId="164" fontId="25" fillId="0" borderId="44" xfId="0" applyNumberFormat="1" applyFont="1" applyBorder="1" applyAlignment="1"/>
    <xf numFmtId="164" fontId="25" fillId="0" borderId="44" xfId="0" applyNumberFormat="1" applyFont="1" applyBorder="1" applyAlignment="1">
      <alignment vertical="center"/>
    </xf>
    <xf numFmtId="169" fontId="25" fillId="0" borderId="44" xfId="0" applyNumberFormat="1" applyFont="1" applyBorder="1" applyAlignment="1">
      <alignment horizontal="center" vertical="center"/>
    </xf>
    <xf numFmtId="0" fontId="0" fillId="0" borderId="45" xfId="0" applyFont="1" applyBorder="1" applyAlignment="1"/>
    <xf numFmtId="0" fontId="0" fillId="0" borderId="46" xfId="0" applyFont="1" applyBorder="1" applyAlignment="1"/>
    <xf numFmtId="0" fontId="25" fillId="0" borderId="47" xfId="0" applyFont="1" applyBorder="1" applyAlignment="1">
      <alignment horizontal="center" vertical="center"/>
    </xf>
    <xf numFmtId="164" fontId="0" fillId="0" borderId="46" xfId="0" applyNumberFormat="1" applyFont="1" applyBorder="1" applyAlignment="1"/>
    <xf numFmtId="0" fontId="0" fillId="0" borderId="48" xfId="0" applyFont="1" applyBorder="1" applyAlignment="1"/>
    <xf numFmtId="0" fontId="0" fillId="0" borderId="49" xfId="0" applyFont="1" applyBorder="1" applyAlignment="1"/>
    <xf numFmtId="0" fontId="0" fillId="0" borderId="50" xfId="0" applyFont="1" applyBorder="1" applyAlignment="1"/>
    <xf numFmtId="0" fontId="0" fillId="0" borderId="51" xfId="0" applyFont="1" applyBorder="1" applyAlignment="1"/>
    <xf numFmtId="164" fontId="25" fillId="0" borderId="47" xfId="0" applyNumberFormat="1" applyFont="1" applyBorder="1" applyAlignment="1"/>
    <xf numFmtId="0" fontId="25" fillId="0" borderId="44" xfId="0" applyFont="1" applyBorder="1" applyAlignment="1"/>
    <xf numFmtId="0" fontId="25" fillId="0" borderId="44" xfId="0" applyFont="1" applyBorder="1" applyAlignment="1">
      <alignment vertical="center"/>
    </xf>
    <xf numFmtId="0" fontId="25" fillId="0" borderId="48" xfId="0" applyFont="1" applyBorder="1" applyAlignment="1"/>
    <xf numFmtId="0" fontId="25" fillId="0" borderId="47" xfId="0" applyFont="1" applyBorder="1" applyAlignment="1"/>
    <xf numFmtId="0" fontId="25" fillId="0" borderId="4" xfId="0" applyFont="1" applyBorder="1" applyAlignment="1"/>
    <xf numFmtId="0" fontId="0" fillId="0" borderId="21" xfId="0" applyFont="1" applyBorder="1" applyAlignment="1"/>
    <xf numFmtId="0" fontId="0" fillId="0" borderId="7" xfId="0" applyFont="1" applyBorder="1" applyAlignment="1"/>
    <xf numFmtId="0" fontId="0" fillId="0" borderId="47" xfId="0" applyFont="1" applyBorder="1" applyAlignment="1"/>
    <xf numFmtId="167" fontId="0" fillId="0" borderId="4" xfId="0" applyNumberFormat="1" applyFont="1" applyBorder="1" applyAlignment="1"/>
    <xf numFmtId="164" fontId="25" fillId="0" borderId="52" xfId="0" applyNumberFormat="1" applyFont="1" applyBorder="1" applyAlignment="1"/>
    <xf numFmtId="164" fontId="25" fillId="0" borderId="48" xfId="0" applyNumberFormat="1" applyFont="1" applyBorder="1" applyAlignment="1"/>
    <xf numFmtId="166" fontId="15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/>
    </xf>
    <xf numFmtId="16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166" fontId="6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2" fillId="0" borderId="16" xfId="0" applyFont="1" applyBorder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 shrinkToFit="1"/>
    </xf>
    <xf numFmtId="166" fontId="18" fillId="2" borderId="1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 vertical="center" wrapText="1"/>
    </xf>
    <xf numFmtId="166" fontId="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6" fontId="16" fillId="2" borderId="5" xfId="0" applyNumberFormat="1" applyFont="1" applyFill="1" applyBorder="1" applyAlignment="1">
      <alignment horizontal="center" vertical="center" wrapText="1"/>
    </xf>
    <xf numFmtId="166" fontId="16" fillId="2" borderId="7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29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right"/>
    </xf>
    <xf numFmtId="0" fontId="15" fillId="2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/>
    </xf>
    <xf numFmtId="0" fontId="13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5" fillId="2" borderId="7" xfId="0" applyFont="1" applyFill="1" applyBorder="1" applyAlignment="1">
      <alignment horizontal="center" vertical="center" shrinkToFit="1"/>
    </xf>
    <xf numFmtId="0" fontId="34" fillId="0" borderId="1" xfId="0" applyFont="1" applyBorder="1" applyAlignment="1">
      <alignment horizontal="center"/>
    </xf>
    <xf numFmtId="0" fontId="34" fillId="0" borderId="20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4" fillId="0" borderId="20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31" fillId="0" borderId="2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32" fillId="0" borderId="26" xfId="0" applyFont="1" applyBorder="1" applyAlignment="1">
      <alignment horizont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164" fontId="30" fillId="0" borderId="25" xfId="0" applyNumberFormat="1" applyFont="1" applyBorder="1" applyAlignment="1">
      <alignment horizontal="center"/>
    </xf>
    <xf numFmtId="0" fontId="2" fillId="0" borderId="25" xfId="0" applyFont="1" applyBorder="1" applyAlignment="1">
      <alignment vertical="center"/>
    </xf>
    <xf numFmtId="0" fontId="35" fillId="0" borderId="21" xfId="0" applyFont="1" applyBorder="1" applyAlignment="1">
      <alignment horizontal="center" vertical="center" shrinkToFit="1"/>
    </xf>
    <xf numFmtId="166" fontId="37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2" fillId="0" borderId="7" xfId="0" applyFont="1" applyBorder="1" applyAlignment="1">
      <alignment horizontal="center" vertical="center" shrinkToFit="1"/>
    </xf>
    <xf numFmtId="164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166" fontId="15" fillId="2" borderId="7" xfId="0" applyNumberFormat="1" applyFont="1" applyFill="1" applyBorder="1" applyAlignment="1">
      <alignment horizontal="center" vertical="center" shrinkToFit="1"/>
    </xf>
    <xf numFmtId="0" fontId="32" fillId="0" borderId="8" xfId="0" applyFont="1" applyBorder="1" applyAlignment="1">
      <alignment horizontal="center"/>
    </xf>
    <xf numFmtId="166" fontId="15" fillId="2" borderId="5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/>
    </xf>
    <xf numFmtId="0" fontId="39" fillId="2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8" fillId="3" borderId="7" xfId="0" applyNumberFormat="1" applyFont="1" applyFill="1" applyBorder="1" applyAlignment="1">
      <alignment horizontal="center"/>
    </xf>
    <xf numFmtId="0" fontId="41" fillId="0" borderId="7" xfId="0" applyFont="1" applyBorder="1" applyAlignment="1">
      <alignment horizontal="center" vertical="center" wrapText="1"/>
    </xf>
    <xf numFmtId="166" fontId="8" fillId="3" borderId="7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2" fontId="15" fillId="2" borderId="1" xfId="0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 shrinkToFit="1"/>
    </xf>
    <xf numFmtId="0" fontId="14" fillId="2" borderId="7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166" fontId="25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right"/>
    </xf>
    <xf numFmtId="166" fontId="44" fillId="3" borderId="7" xfId="0" applyNumberFormat="1" applyFont="1" applyFill="1" applyBorder="1" applyAlignment="1">
      <alignment horizontal="center" vertical="center"/>
    </xf>
    <xf numFmtId="166" fontId="44" fillId="3" borderId="7" xfId="0" applyNumberFormat="1" applyFont="1" applyFill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vertical="center"/>
    </xf>
    <xf numFmtId="0" fontId="15" fillId="2" borderId="7" xfId="0" applyFont="1" applyFill="1" applyBorder="1" applyAlignment="1">
      <alignment horizontal="center" vertical="center" wrapText="1"/>
    </xf>
    <xf numFmtId="166" fontId="25" fillId="0" borderId="8" xfId="0" applyNumberFormat="1" applyFont="1" applyBorder="1" applyAlignment="1">
      <alignment horizontal="center"/>
    </xf>
    <xf numFmtId="166" fontId="26" fillId="0" borderId="0" xfId="0" applyNumberFormat="1" applyFont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/>
    </xf>
    <xf numFmtId="166" fontId="45" fillId="3" borderId="1" xfId="0" applyNumberFormat="1" applyFont="1" applyFill="1" applyBorder="1" applyAlignment="1">
      <alignment horizontal="center"/>
    </xf>
    <xf numFmtId="0" fontId="46" fillId="3" borderId="30" xfId="0" applyFont="1" applyFill="1" applyBorder="1" applyAlignment="1">
      <alignment horizontal="center"/>
    </xf>
    <xf numFmtId="0" fontId="2" fillId="0" borderId="31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3" borderId="30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 shrinkToFit="1"/>
    </xf>
    <xf numFmtId="166" fontId="21" fillId="0" borderId="1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shrinkToFit="1"/>
    </xf>
    <xf numFmtId="0" fontId="37" fillId="0" borderId="7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 shrinkToFit="1"/>
    </xf>
    <xf numFmtId="166" fontId="9" fillId="0" borderId="5" xfId="0" applyNumberFormat="1" applyFont="1" applyBorder="1" applyAlignment="1">
      <alignment horizontal="center" vertical="center" wrapText="1"/>
    </xf>
    <xf numFmtId="166" fontId="45" fillId="0" borderId="1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48" fillId="0" borderId="2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166" fontId="50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66" fontId="0" fillId="3" borderId="30" xfId="0" applyNumberFormat="1" applyFont="1" applyFill="1" applyBorder="1" applyAlignment="1">
      <alignment horizontal="center"/>
    </xf>
    <xf numFmtId="166" fontId="6" fillId="3" borderId="30" xfId="0" applyNumberFormat="1" applyFont="1" applyFill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166" fontId="25" fillId="0" borderId="1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166" fontId="23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0" fontId="2" fillId="0" borderId="43" xfId="0" applyFont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25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 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228850" cy="185737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95350" y="6448425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1114425</xdr:colOff>
      <xdr:row>31</xdr:row>
      <xdr:rowOff>0</xdr:rowOff>
    </xdr:from>
    <xdr:ext cx="0" cy="185737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1474" y="6448425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95250</xdr:colOff>
      <xdr:row>35</xdr:row>
      <xdr:rowOff>123825</xdr:rowOff>
    </xdr:from>
    <xdr:ext cx="790575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191494" y="7384529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180975</xdr:rowOff>
    </xdr:from>
    <xdr:ext cx="1038225" cy="2762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0</xdr:rowOff>
    </xdr:from>
    <xdr:ext cx="3743325" cy="22574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5350" y="6753225"/>
          <a:ext cx="3744416" cy="216024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19050</xdr:colOff>
      <xdr:row>33</xdr:row>
      <xdr:rowOff>0</xdr:rowOff>
    </xdr:from>
    <xdr:ext cx="0" cy="22574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119486" y="6753225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676275</xdr:colOff>
      <xdr:row>32</xdr:row>
      <xdr:rowOff>200025</xdr:rowOff>
    </xdr:from>
    <xdr:ext cx="0" cy="2238375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415630" y="6729831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142875</xdr:colOff>
      <xdr:row>38</xdr:row>
      <xdr:rowOff>95250</xdr:rowOff>
    </xdr:from>
    <xdr:ext cx="933450" cy="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1039366" y="7809951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3</xdr:col>
      <xdr:colOff>895350</xdr:colOff>
      <xdr:row>38</xdr:row>
      <xdr:rowOff>133350</xdr:rowOff>
    </xdr:from>
    <xdr:ext cx="933450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3631654" y="7850248"/>
          <a:ext cx="927720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180975</xdr:rowOff>
    </xdr:from>
    <xdr:ext cx="1038225" cy="33337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3524250" cy="129540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19175" y="6715125"/>
          <a:ext cx="3528392" cy="1656184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857250</xdr:colOff>
      <xdr:row>31</xdr:row>
      <xdr:rowOff>0</xdr:rowOff>
    </xdr:from>
    <xdr:ext cx="0" cy="1295400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3271" y="671512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533400</xdr:colOff>
      <xdr:row>31</xdr:row>
      <xdr:rowOff>0</xdr:rowOff>
    </xdr:from>
    <xdr:ext cx="0" cy="12954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783371" y="671512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152400</xdr:colOff>
      <xdr:row>31</xdr:row>
      <xdr:rowOff>0</xdr:rowOff>
    </xdr:from>
    <xdr:ext cx="0" cy="1295400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83471" y="671512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1076325</xdr:colOff>
      <xdr:row>34</xdr:row>
      <xdr:rowOff>47625</xdr:rowOff>
    </xdr:from>
    <xdr:ext cx="581025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2099295" y="7543217"/>
          <a:ext cx="57606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628650</xdr:colOff>
      <xdr:row>34</xdr:row>
      <xdr:rowOff>47625</xdr:rowOff>
    </xdr:from>
    <xdr:ext cx="600075" cy="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2876812" y="7543217"/>
          <a:ext cx="596957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152400</xdr:rowOff>
    </xdr:from>
    <xdr:ext cx="1038225" cy="27622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32</xdr:row>
      <xdr:rowOff>0</xdr:rowOff>
    </xdr:from>
    <xdr:ext cx="2038350" cy="14573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14525" y="6677025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352425</xdr:colOff>
      <xdr:row>32</xdr:row>
      <xdr:rowOff>0</xdr:rowOff>
    </xdr:from>
    <xdr:ext cx="0" cy="14573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030649" y="6677025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533400</xdr:colOff>
      <xdr:row>35</xdr:row>
      <xdr:rowOff>142875</xdr:rowOff>
    </xdr:from>
    <xdr:ext cx="800100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3210669" y="7613129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38100</xdr:colOff>
      <xdr:row>0</xdr:row>
      <xdr:rowOff>114300</xdr:rowOff>
    </xdr:from>
    <xdr:ext cx="1038225" cy="33337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3524250" cy="129540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33475" y="7229475"/>
          <a:ext cx="3528392" cy="1656184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857250</xdr:colOff>
      <xdr:row>34</xdr:row>
      <xdr:rowOff>0</xdr:rowOff>
    </xdr:from>
    <xdr:ext cx="0" cy="1295400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997571" y="722947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0</xdr:colOff>
      <xdr:row>34</xdr:row>
      <xdr:rowOff>0</xdr:rowOff>
    </xdr:from>
    <xdr:ext cx="0" cy="12954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897671" y="722947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9525</xdr:colOff>
      <xdr:row>34</xdr:row>
      <xdr:rowOff>0</xdr:rowOff>
    </xdr:from>
    <xdr:ext cx="0" cy="1295400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797771" y="7229475"/>
          <a:ext cx="0" cy="1656184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1076325</xdr:colOff>
      <xdr:row>37</xdr:row>
      <xdr:rowOff>47625</xdr:rowOff>
    </xdr:from>
    <xdr:ext cx="581025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213595" y="8057567"/>
          <a:ext cx="57606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3</xdr:col>
      <xdr:colOff>85725</xdr:colOff>
      <xdr:row>37</xdr:row>
      <xdr:rowOff>47625</xdr:rowOff>
    </xdr:from>
    <xdr:ext cx="590550" cy="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2991112" y="8057567"/>
          <a:ext cx="596957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76200</xdr:colOff>
      <xdr:row>0</xdr:row>
      <xdr:rowOff>0</xdr:rowOff>
    </xdr:from>
    <xdr:ext cx="838200" cy="247650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40</xdr:row>
      <xdr:rowOff>0</xdr:rowOff>
    </xdr:from>
    <xdr:ext cx="3676650" cy="17621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85825" y="8172450"/>
          <a:ext cx="3744416" cy="216024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104775</xdr:colOff>
      <xdr:row>40</xdr:row>
      <xdr:rowOff>0</xdr:rowOff>
    </xdr:from>
    <xdr:ext cx="0" cy="17621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109961" y="8172450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466725</xdr:colOff>
      <xdr:row>39</xdr:row>
      <xdr:rowOff>219075</xdr:rowOff>
    </xdr:from>
    <xdr:ext cx="0" cy="17145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406105" y="8149056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323850</xdr:colOff>
      <xdr:row>44</xdr:row>
      <xdr:rowOff>19050</xdr:rowOff>
    </xdr:from>
    <xdr:ext cx="933450" cy="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H="1">
          <a:off x="2325985" y="9229176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142875</xdr:colOff>
      <xdr:row>44</xdr:row>
      <xdr:rowOff>19050</xdr:rowOff>
    </xdr:from>
    <xdr:ext cx="933450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029841" y="9229176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38100</xdr:colOff>
      <xdr:row>0</xdr:row>
      <xdr:rowOff>0</xdr:rowOff>
    </xdr:from>
    <xdr:ext cx="809625" cy="238125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0</xdr:rowOff>
    </xdr:from>
    <xdr:ext cx="3933825" cy="165735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257300" y="6972300"/>
          <a:ext cx="4324350" cy="205740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1009650</xdr:colOff>
      <xdr:row>33</xdr:row>
      <xdr:rowOff>0</xdr:rowOff>
    </xdr:from>
    <xdr:ext cx="0" cy="1619250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flipH="1">
          <a:off x="2276475" y="6972300"/>
          <a:ext cx="6847" cy="201930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161925</xdr:colOff>
      <xdr:row>33</xdr:row>
      <xdr:rowOff>0</xdr:rowOff>
    </xdr:from>
    <xdr:ext cx="0" cy="165735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419475" y="6972300"/>
          <a:ext cx="0" cy="205740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180975</xdr:colOff>
      <xdr:row>33</xdr:row>
      <xdr:rowOff>28575</xdr:rowOff>
    </xdr:from>
    <xdr:ext cx="0" cy="1647825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flipH="1">
          <a:off x="4524375" y="7010400"/>
          <a:ext cx="6821" cy="2047875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200025</xdr:colOff>
      <xdr:row>36</xdr:row>
      <xdr:rowOff>200025</xdr:rowOff>
    </xdr:from>
    <xdr:ext cx="390525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2689845" y="7952792"/>
          <a:ext cx="57606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3</xdr:col>
      <xdr:colOff>352425</xdr:colOff>
      <xdr:row>36</xdr:row>
      <xdr:rowOff>209550</xdr:rowOff>
    </xdr:from>
    <xdr:ext cx="590550" cy="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H="1">
          <a:off x="3610237" y="7971842"/>
          <a:ext cx="596957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1247775" cy="25717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3276600" cy="17621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066925" y="8010525"/>
          <a:ext cx="3744416" cy="216024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457200</xdr:colOff>
      <xdr:row>39</xdr:row>
      <xdr:rowOff>0</xdr:rowOff>
    </xdr:from>
    <xdr:ext cx="0" cy="17621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291061" y="8010525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552450</xdr:colOff>
      <xdr:row>38</xdr:row>
      <xdr:rowOff>219075</xdr:rowOff>
    </xdr:from>
    <xdr:ext cx="0" cy="17145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587205" y="7987131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676275</xdr:colOff>
      <xdr:row>43</xdr:row>
      <xdr:rowOff>19050</xdr:rowOff>
    </xdr:from>
    <xdr:ext cx="942975" cy="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 flipH="1">
          <a:off x="3507085" y="9067251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133350</xdr:colOff>
      <xdr:row>43</xdr:row>
      <xdr:rowOff>9525</xdr:rowOff>
    </xdr:from>
    <xdr:ext cx="742950" cy="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H="1">
          <a:off x="2562225" y="9344025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57150</xdr:colOff>
      <xdr:row>0</xdr:row>
      <xdr:rowOff>0</xdr:rowOff>
    </xdr:from>
    <xdr:ext cx="866775" cy="25717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37</xdr:row>
      <xdr:rowOff>0</xdr:rowOff>
    </xdr:from>
    <xdr:ext cx="1257300" cy="242887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990725" y="7915275"/>
          <a:ext cx="1260140" cy="2448272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0</xdr:colOff>
      <xdr:row>42</xdr:row>
      <xdr:rowOff>142875</xdr:rowOff>
    </xdr:from>
    <xdr:ext cx="66675" cy="581025"/>
    <xdr:sp macro="" textlink="">
      <xdr:nvSpPr>
        <xdr:cNvPr id="3" name="round2SameRec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174597" y="9074063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9525</xdr:colOff>
      <xdr:row>44</xdr:row>
      <xdr:rowOff>123825</xdr:rowOff>
    </xdr:from>
    <xdr:ext cx="1238250" cy="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008727" y="9442521"/>
          <a:ext cx="1242138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47625</xdr:colOff>
      <xdr:row>37</xdr:row>
      <xdr:rowOff>9525</xdr:rowOff>
    </xdr:from>
    <xdr:ext cx="1200150" cy="150495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2047689" y="7930353"/>
          <a:ext cx="1203176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9525</xdr:colOff>
      <xdr:row>44</xdr:row>
      <xdr:rowOff>95250</xdr:rowOff>
    </xdr:from>
    <xdr:ext cx="1238250" cy="942975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V="1">
          <a:off x="2008727" y="9427443"/>
          <a:ext cx="1242138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47625</xdr:colOff>
      <xdr:row>0</xdr:row>
      <xdr:rowOff>0</xdr:rowOff>
    </xdr:from>
    <xdr:ext cx="847725" cy="24765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32</xdr:row>
      <xdr:rowOff>0</xdr:rowOff>
    </xdr:from>
    <xdr:ext cx="2038350" cy="14573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981200" y="6648450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352425</xdr:colOff>
      <xdr:row>32</xdr:row>
      <xdr:rowOff>0</xdr:rowOff>
    </xdr:from>
    <xdr:ext cx="0" cy="14573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097324" y="6648450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523875</xdr:colOff>
      <xdr:row>35</xdr:row>
      <xdr:rowOff>142875</xdr:rowOff>
    </xdr:from>
    <xdr:ext cx="800100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3277344" y="7584554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38100</xdr:colOff>
      <xdr:row>0</xdr:row>
      <xdr:rowOff>0</xdr:rowOff>
    </xdr:from>
    <xdr:ext cx="762000" cy="20955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37</xdr:row>
      <xdr:rowOff>0</xdr:rowOff>
    </xdr:from>
    <xdr:ext cx="2686050" cy="24479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990725" y="7905750"/>
          <a:ext cx="2520280" cy="2448272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19050</xdr:colOff>
      <xdr:row>37</xdr:row>
      <xdr:rowOff>0</xdr:rowOff>
    </xdr:from>
    <xdr:ext cx="0" cy="24479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193901" y="7905750"/>
          <a:ext cx="0" cy="2448272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114300</xdr:colOff>
      <xdr:row>44</xdr:row>
      <xdr:rowOff>95250</xdr:rowOff>
    </xdr:from>
    <xdr:ext cx="1228725" cy="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290182" y="9417918"/>
          <a:ext cx="1220823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0</xdr:colOff>
      <xdr:row>44</xdr:row>
      <xdr:rowOff>95250</xdr:rowOff>
    </xdr:from>
    <xdr:ext cx="1409700" cy="0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990725" y="9417918"/>
          <a:ext cx="1242138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114300</xdr:colOff>
      <xdr:row>37</xdr:row>
      <xdr:rowOff>0</xdr:rowOff>
    </xdr:from>
    <xdr:ext cx="1228725" cy="1495425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 flipH="1">
          <a:off x="3290182" y="7905750"/>
          <a:ext cx="1220824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37</xdr:row>
      <xdr:rowOff>0</xdr:rowOff>
    </xdr:from>
    <xdr:ext cx="1371600" cy="1495425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1990725" y="7905750"/>
          <a:ext cx="1203176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152400</xdr:colOff>
      <xdr:row>44</xdr:row>
      <xdr:rowOff>95250</xdr:rowOff>
    </xdr:from>
    <xdr:ext cx="1190625" cy="952500"/>
    <xdr:cxnSp macro="">
      <xdr:nvCxnSpPr>
        <xdr:cNvPr id="8" name="straightConnector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CxnSpPr/>
      </xdr:nvCxnSpPr>
      <xdr:spPr>
        <a:xfrm flipH="1" flipV="1">
          <a:off x="3326186" y="9417918"/>
          <a:ext cx="1184820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44</xdr:row>
      <xdr:rowOff>95250</xdr:rowOff>
    </xdr:from>
    <xdr:ext cx="1352550" cy="952500"/>
    <xdr:cxnSp macro="">
      <xdr:nvCxnSpPr>
        <xdr:cNvPr id="9" name="straightConnector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/>
      </xdr:nvCxnSpPr>
      <xdr:spPr>
        <a:xfrm flipV="1">
          <a:off x="1990725" y="9417918"/>
          <a:ext cx="1181337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114300</xdr:colOff>
      <xdr:row>37</xdr:row>
      <xdr:rowOff>0</xdr:rowOff>
    </xdr:from>
    <xdr:ext cx="0" cy="2447925"/>
    <xdr:sp macro="" textlink="">
      <xdr:nvSpPr>
        <xdr:cNvPr id="10" name="lin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3290182" y="7905750"/>
          <a:ext cx="0" cy="2448272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152400</xdr:colOff>
      <xdr:row>43</xdr:row>
      <xdr:rowOff>9525</xdr:rowOff>
    </xdr:from>
    <xdr:ext cx="66675" cy="571500"/>
    <xdr:sp macro="" textlink="">
      <xdr:nvSpPr>
        <xdr:cNvPr id="11" name="round2SameRect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3326186" y="9129886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1104900</xdr:colOff>
      <xdr:row>43</xdr:row>
      <xdr:rowOff>9525</xdr:rowOff>
    </xdr:from>
    <xdr:ext cx="247650" cy="571500"/>
    <xdr:sp macro="" textlink="">
      <xdr:nvSpPr>
        <xdr:cNvPr id="12" name="round2SameRect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3100054" y="9129886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809625" cy="238125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1257300" cy="242887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924050" y="7486650"/>
          <a:ext cx="1260140" cy="2448272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1181100</xdr:colOff>
      <xdr:row>40</xdr:row>
      <xdr:rowOff>142875</xdr:rowOff>
    </xdr:from>
    <xdr:ext cx="66675" cy="581025"/>
    <xdr:sp macro="" textlink="">
      <xdr:nvSpPr>
        <xdr:cNvPr id="3" name="round2SameRec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107922" y="8645438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9525</xdr:colOff>
      <xdr:row>42</xdr:row>
      <xdr:rowOff>123825</xdr:rowOff>
    </xdr:from>
    <xdr:ext cx="1238250" cy="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942052" y="9013896"/>
          <a:ext cx="1242138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47625</xdr:colOff>
      <xdr:row>35</xdr:row>
      <xdr:rowOff>9525</xdr:rowOff>
    </xdr:from>
    <xdr:ext cx="1200150" cy="150495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1981014" y="7501728"/>
          <a:ext cx="1203176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9525</xdr:colOff>
      <xdr:row>42</xdr:row>
      <xdr:rowOff>95250</xdr:rowOff>
    </xdr:from>
    <xdr:ext cx="1238250" cy="942975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 flipV="1">
          <a:off x="1942052" y="8998818"/>
          <a:ext cx="1242138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19050</xdr:colOff>
      <xdr:row>0</xdr:row>
      <xdr:rowOff>0</xdr:rowOff>
    </xdr:from>
    <xdr:ext cx="857250" cy="257175"/>
    <xdr:pic>
      <xdr:nvPicPr>
        <xdr:cNvPr id="7" name="image12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2514600" cy="24479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905000" y="7229475"/>
          <a:ext cx="2520280" cy="2448272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19050</xdr:colOff>
      <xdr:row>34</xdr:row>
      <xdr:rowOff>0</xdr:rowOff>
    </xdr:from>
    <xdr:ext cx="0" cy="24479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108176" y="7229475"/>
          <a:ext cx="0" cy="2448272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114300</xdr:colOff>
      <xdr:row>41</xdr:row>
      <xdr:rowOff>95250</xdr:rowOff>
    </xdr:from>
    <xdr:ext cx="1219200" cy="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204457" y="8741643"/>
          <a:ext cx="1220823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0</xdr:colOff>
      <xdr:row>41</xdr:row>
      <xdr:rowOff>95250</xdr:rowOff>
    </xdr:from>
    <xdr:ext cx="1238250" cy="0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1905000" y="8741643"/>
          <a:ext cx="1242138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114300</xdr:colOff>
      <xdr:row>34</xdr:row>
      <xdr:rowOff>0</xdr:rowOff>
    </xdr:from>
    <xdr:ext cx="1219200" cy="1495425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 flipH="1">
          <a:off x="3204457" y="7229475"/>
          <a:ext cx="1220824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34</xdr:row>
      <xdr:rowOff>0</xdr:rowOff>
    </xdr:from>
    <xdr:ext cx="1228725" cy="150495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>
        <a:xfrm>
          <a:off x="1905000" y="7229475"/>
          <a:ext cx="1238250" cy="1514475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152400</xdr:colOff>
      <xdr:row>41</xdr:row>
      <xdr:rowOff>95250</xdr:rowOff>
    </xdr:from>
    <xdr:ext cx="1181100" cy="952500"/>
    <xdr:cxnSp macro="">
      <xdr:nvCxnSpPr>
        <xdr:cNvPr id="8" name="straightConnector1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/>
      </xdr:nvCxnSpPr>
      <xdr:spPr>
        <a:xfrm flipH="1" flipV="1">
          <a:off x="3240461" y="8741643"/>
          <a:ext cx="1184820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41</xdr:row>
      <xdr:rowOff>95250</xdr:rowOff>
    </xdr:from>
    <xdr:ext cx="1181100" cy="952500"/>
    <xdr:cxnSp macro="">
      <xdr:nvCxnSpPr>
        <xdr:cNvPr id="9" name="straightConnector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 flipV="1">
          <a:off x="1905000" y="8741643"/>
          <a:ext cx="1181337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114300</xdr:colOff>
      <xdr:row>34</xdr:row>
      <xdr:rowOff>0</xdr:rowOff>
    </xdr:from>
    <xdr:ext cx="0" cy="2447925"/>
    <xdr:sp macro="" textlink="">
      <xdr:nvSpPr>
        <xdr:cNvPr id="10" name="lin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3204457" y="7229475"/>
          <a:ext cx="0" cy="2448272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152400</xdr:colOff>
      <xdr:row>40</xdr:row>
      <xdr:rowOff>9525</xdr:rowOff>
    </xdr:from>
    <xdr:ext cx="66675" cy="571500"/>
    <xdr:sp macro="" textlink="">
      <xdr:nvSpPr>
        <xdr:cNvPr id="11" name="round2SameRect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3240461" y="8453611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1104900</xdr:colOff>
      <xdr:row>40</xdr:row>
      <xdr:rowOff>9525</xdr:rowOff>
    </xdr:from>
    <xdr:ext cx="76200" cy="571500"/>
    <xdr:sp macro="" textlink="">
      <xdr:nvSpPr>
        <xdr:cNvPr id="12" name="round2SameRect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3014329" y="8453611"/>
          <a:ext cx="72008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923925" cy="285750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2152650" cy="186690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133475" y="5486400"/>
          <a:ext cx="2160240" cy="180020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0</xdr:col>
      <xdr:colOff>38100</xdr:colOff>
      <xdr:row>0</xdr:row>
      <xdr:rowOff>0</xdr:rowOff>
    </xdr:from>
    <xdr:ext cx="781050" cy="266700"/>
    <xdr:pic>
      <xdr:nvPicPr>
        <xdr:cNvPr id="3" name="image14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2943225" cy="186690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981200" y="7886700"/>
          <a:ext cx="2952328" cy="180020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1000125</xdr:colOff>
      <xdr:row>34</xdr:row>
      <xdr:rowOff>0</xdr:rowOff>
    </xdr:from>
    <xdr:ext cx="0" cy="1866900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2989312" y="7886700"/>
          <a:ext cx="0" cy="180020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0</xdr:colOff>
      <xdr:row>34</xdr:row>
      <xdr:rowOff>0</xdr:rowOff>
    </xdr:from>
    <xdr:ext cx="1000125" cy="923925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1981200" y="7886700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38</xdr:row>
      <xdr:rowOff>123825</xdr:rowOff>
    </xdr:from>
    <xdr:ext cx="1000125" cy="95250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 flipV="1">
          <a:off x="1981200" y="8786800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876300" cy="257175"/>
    <xdr:pic>
      <xdr:nvPicPr>
        <xdr:cNvPr id="6" name="image15.pn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3810000" cy="186690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933575" y="7820025"/>
          <a:ext cx="3816424" cy="180020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1000125</xdr:colOff>
      <xdr:row>35</xdr:row>
      <xdr:rowOff>0</xdr:rowOff>
    </xdr:from>
    <xdr:ext cx="0" cy="1866900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2941687" y="7820025"/>
          <a:ext cx="0" cy="180020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9525</xdr:colOff>
      <xdr:row>35</xdr:row>
      <xdr:rowOff>0</xdr:rowOff>
    </xdr:from>
    <xdr:ext cx="0" cy="18669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4741887" y="7820025"/>
          <a:ext cx="0" cy="180020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9525</xdr:colOff>
      <xdr:row>35</xdr:row>
      <xdr:rowOff>0</xdr:rowOff>
    </xdr:from>
    <xdr:ext cx="1000125" cy="923925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 flipH="1">
          <a:off x="4741887" y="7820025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4</xdr:col>
      <xdr:colOff>9525</xdr:colOff>
      <xdr:row>39</xdr:row>
      <xdr:rowOff>123825</xdr:rowOff>
    </xdr:from>
    <xdr:ext cx="1000125" cy="95250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 flipH="1" flipV="1">
          <a:off x="4741887" y="8720125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35</xdr:row>
      <xdr:rowOff>0</xdr:rowOff>
    </xdr:from>
    <xdr:ext cx="1000125" cy="923925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>
          <a:off x="1933575" y="7820025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0</xdr:colOff>
      <xdr:row>39</xdr:row>
      <xdr:rowOff>123825</xdr:rowOff>
    </xdr:from>
    <xdr:ext cx="1000125" cy="952500"/>
    <xdr:cxnSp macro="">
      <xdr:nvCxnSpPr>
        <xdr:cNvPr id="8" name="straightConnector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 flipV="1">
          <a:off x="1933575" y="8720125"/>
          <a:ext cx="1008112" cy="900100"/>
        </a:xfrm>
        <a:prstGeom prst="straightConnector1">
          <a:avLst/>
        </a:prstGeom>
        <a:noFill/>
        <a:ln w="28575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800100" cy="228600"/>
    <xdr:pic>
      <xdr:nvPicPr>
        <xdr:cNvPr id="9" name="image16.pn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247650</xdr:rowOff>
    </xdr:from>
    <xdr:ext cx="3971925" cy="1695450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133475" y="7419974"/>
          <a:ext cx="3981450" cy="2066925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942975</xdr:colOff>
      <xdr:row>33</xdr:row>
      <xdr:rowOff>238125</xdr:rowOff>
    </xdr:from>
    <xdr:ext cx="0" cy="170497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flipH="1">
          <a:off x="2085975" y="7410450"/>
          <a:ext cx="6846" cy="207645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76200</xdr:colOff>
      <xdr:row>33</xdr:row>
      <xdr:rowOff>247650</xdr:rowOff>
    </xdr:from>
    <xdr:ext cx="0" cy="169545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3124200" y="7419974"/>
          <a:ext cx="0" cy="2066925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276225</xdr:colOff>
      <xdr:row>34</xdr:row>
      <xdr:rowOff>9525</xdr:rowOff>
    </xdr:from>
    <xdr:ext cx="0" cy="1676400"/>
    <xdr:sp macro="" textlink="">
      <xdr:nvSpPr>
        <xdr:cNvPr id="5" name="line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 flipH="1">
          <a:off x="4143375" y="7439025"/>
          <a:ext cx="6822" cy="200025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1057275</xdr:colOff>
      <xdr:row>38</xdr:row>
      <xdr:rowOff>47625</xdr:rowOff>
    </xdr:from>
    <xdr:ext cx="781050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 flipV="1">
          <a:off x="2200275" y="8505242"/>
          <a:ext cx="779884" cy="583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3</xdr:col>
      <xdr:colOff>228600</xdr:colOff>
      <xdr:row>38</xdr:row>
      <xdr:rowOff>28575</xdr:rowOff>
    </xdr:from>
    <xdr:ext cx="733425" cy="0"/>
    <xdr:cxnSp macro="">
      <xdr:nvCxnSpPr>
        <xdr:cNvPr id="7" name="straightConnector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 flipH="1">
          <a:off x="3276863" y="8486775"/>
          <a:ext cx="723637" cy="8942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866775" cy="257175"/>
    <xdr:pic>
      <xdr:nvPicPr>
        <xdr:cNvPr id="8" name="image17.png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32</xdr:row>
      <xdr:rowOff>0</xdr:rowOff>
    </xdr:from>
    <xdr:ext cx="2038350" cy="14573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2162175" y="6867525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352425</xdr:colOff>
      <xdr:row>32</xdr:row>
      <xdr:rowOff>0</xdr:rowOff>
    </xdr:from>
    <xdr:ext cx="0" cy="14573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278299" y="6867525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533400</xdr:colOff>
      <xdr:row>35</xdr:row>
      <xdr:rowOff>142875</xdr:rowOff>
    </xdr:from>
    <xdr:ext cx="800100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3458319" y="7803629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876300" cy="257175"/>
    <xdr:pic>
      <xdr:nvPicPr>
        <xdr:cNvPr id="5" name="image18.pn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0</xdr:rowOff>
    </xdr:from>
    <xdr:ext cx="2228850" cy="14573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1409700" y="7191375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1114425</xdr:colOff>
      <xdr:row>33</xdr:row>
      <xdr:rowOff>0</xdr:rowOff>
    </xdr:from>
    <xdr:ext cx="0" cy="14573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525824" y="7191375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57150</xdr:colOff>
      <xdr:row>36</xdr:row>
      <xdr:rowOff>142875</xdr:rowOff>
    </xdr:from>
    <xdr:ext cx="790575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705844" y="8127479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0</xdr:col>
      <xdr:colOff>0</xdr:colOff>
      <xdr:row>0</xdr:row>
      <xdr:rowOff>0</xdr:rowOff>
    </xdr:from>
    <xdr:ext cx="695325" cy="228600"/>
    <xdr:pic>
      <xdr:nvPicPr>
        <xdr:cNvPr id="5" name="image19.pn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27</xdr:row>
      <xdr:rowOff>0</xdr:rowOff>
    </xdr:from>
    <xdr:ext cx="1257300" cy="254317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629025" y="6210300"/>
          <a:ext cx="1260140" cy="2448272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390525</xdr:colOff>
      <xdr:row>33</xdr:row>
      <xdr:rowOff>9525</xdr:rowOff>
    </xdr:from>
    <xdr:ext cx="152400" cy="600075"/>
    <xdr:sp macro="" textlink="">
      <xdr:nvSpPr>
        <xdr:cNvPr id="3" name="round2SameRect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4733925" y="7369088"/>
          <a:ext cx="150980" cy="576064"/>
        </a:xfrm>
        <a:prstGeom prst="round2SameRect">
          <a:avLst/>
        </a:prstGeom>
        <a:solidFill>
          <a:srgbClr val="000000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9525</xdr:colOff>
      <xdr:row>35</xdr:row>
      <xdr:rowOff>0</xdr:rowOff>
    </xdr:from>
    <xdr:ext cx="1247775" cy="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647027" y="7737546"/>
          <a:ext cx="1242138" cy="0"/>
        </a:xfrm>
        <a:prstGeom prst="line">
          <a:avLst/>
        </a:prstGeom>
        <a:noFill/>
        <a:ln w="762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2</xdr:col>
      <xdr:colOff>47625</xdr:colOff>
      <xdr:row>27</xdr:row>
      <xdr:rowOff>9525</xdr:rowOff>
    </xdr:from>
    <xdr:ext cx="1209675" cy="1590675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>
          <a:off x="3685989" y="6225378"/>
          <a:ext cx="1203176" cy="1512168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9525</xdr:colOff>
      <xdr:row>34</xdr:row>
      <xdr:rowOff>171450</xdr:rowOff>
    </xdr:from>
    <xdr:ext cx="1247775" cy="981075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 flipV="1">
          <a:off x="3647027" y="7722468"/>
          <a:ext cx="1242138" cy="936104"/>
        </a:xfrm>
        <a:prstGeom prst="straightConnector1">
          <a:avLst/>
        </a:prstGeom>
        <a:noFill/>
        <a:ln w="38100" cap="flat" cmpd="sng">
          <a:solidFill>
            <a:srgbClr val="000000"/>
          </a:solidFill>
          <a:prstDash val="sysDash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3171825" cy="17621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2286000" y="8220075"/>
          <a:ext cx="3744416" cy="2160240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457200</xdr:colOff>
      <xdr:row>39</xdr:row>
      <xdr:rowOff>0</xdr:rowOff>
    </xdr:from>
    <xdr:ext cx="0" cy="17621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3510136" y="8220075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4</xdr:col>
      <xdr:colOff>600075</xdr:colOff>
      <xdr:row>38</xdr:row>
      <xdr:rowOff>219075</xdr:rowOff>
    </xdr:from>
    <xdr:ext cx="0" cy="1714500"/>
    <xdr:sp macro="" textlink="">
      <xdr:nvSpPr>
        <xdr:cNvPr id="4" name="line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4806280" y="8196681"/>
          <a:ext cx="0" cy="2160240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3</xdr:col>
      <xdr:colOff>676275</xdr:colOff>
      <xdr:row>43</xdr:row>
      <xdr:rowOff>19050</xdr:rowOff>
    </xdr:from>
    <xdr:ext cx="942975" cy="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 flipH="1">
          <a:off x="3726160" y="9276801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2</xdr:col>
      <xdr:colOff>142875</xdr:colOff>
      <xdr:row>43</xdr:row>
      <xdr:rowOff>19050</xdr:rowOff>
    </xdr:from>
    <xdr:ext cx="742950" cy="0"/>
    <xdr:cxnSp macro="">
      <xdr:nvCxnSpPr>
        <xdr:cNvPr id="6" name="straightConnector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 flipH="1">
          <a:off x="2430016" y="9276801"/>
          <a:ext cx="936104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2228850" cy="14573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1133475" y="6657975"/>
          <a:ext cx="2232248" cy="1872208"/>
        </a:xfrm>
        <a:prstGeom prst="rect">
          <a:avLst/>
        </a:prstGeom>
        <a:solidFill>
          <a:srgbClr val="D6DCE5"/>
        </a:solidFill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1114425</xdr:colOff>
      <xdr:row>29</xdr:row>
      <xdr:rowOff>0</xdr:rowOff>
    </xdr:from>
    <xdr:ext cx="0" cy="1457325"/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2249599" y="6657975"/>
          <a:ext cx="0" cy="1872208"/>
        </a:xfrm>
        <a:prstGeom prst="line">
          <a:avLst/>
        </a:prstGeom>
        <a:noFill/>
        <a:ln w="571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1</xdr:col>
      <xdr:colOff>1295400</xdr:colOff>
      <xdr:row>32</xdr:row>
      <xdr:rowOff>142875</xdr:rowOff>
    </xdr:from>
    <xdr:ext cx="800100" cy="0"/>
    <xdr:cxnSp macro="">
      <xdr:nvCxnSpPr>
        <xdr:cNvPr id="4" name="straightConnector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2429619" y="7594079"/>
          <a:ext cx="79208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  <xdr:oneCellAnchor>
    <xdr:from>
      <xdr:col>1</xdr:col>
      <xdr:colOff>180975</xdr:colOff>
      <xdr:row>32</xdr:row>
      <xdr:rowOff>142875</xdr:rowOff>
    </xdr:from>
    <xdr:ext cx="762000" cy="0"/>
    <xdr:cxnSp macro="">
      <xdr:nvCxnSpPr>
        <xdr:cNvPr id="5" name="straightConnector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CxnSpPr/>
      </xdr:nvCxnSpPr>
      <xdr:spPr>
        <a:xfrm flipH="1">
          <a:off x="1320189" y="7594079"/>
          <a:ext cx="764468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miter/>
          <a:tailEnd type="arrow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44" workbookViewId="0"/>
  </sheetViews>
  <sheetFormatPr defaultColWidth="14.390625" defaultRowHeight="15" customHeight="1" x14ac:dyDescent="0.2"/>
  <cols>
    <col min="1" max="1" width="15.19921875" customWidth="1"/>
    <col min="2" max="2" width="18.0234375" customWidth="1"/>
    <col min="3" max="3" width="9.55078125" customWidth="1"/>
    <col min="4" max="4" width="11.703125" customWidth="1"/>
    <col min="5" max="5" width="8.33984375" customWidth="1"/>
    <col min="6" max="6" width="3.09375" customWidth="1"/>
    <col min="7" max="7" width="6.9921875" customWidth="1"/>
    <col min="8" max="8" width="8.0703125" customWidth="1"/>
    <col min="9" max="9" width="15.87109375" customWidth="1"/>
    <col min="10" max="10" width="18.29296875" customWidth="1"/>
    <col min="11" max="11" width="17.484375" customWidth="1"/>
    <col min="12" max="12" width="13.85546875" customWidth="1"/>
    <col min="13" max="17" width="8.609375" customWidth="1"/>
  </cols>
  <sheetData>
    <row r="1" spans="1:12" ht="23.25" x14ac:dyDescent="0.3">
      <c r="A1" s="262" t="s">
        <v>0</v>
      </c>
      <c r="B1" s="238"/>
      <c r="C1" s="238"/>
      <c r="D1" s="238"/>
      <c r="E1" s="238"/>
      <c r="F1" s="238"/>
      <c r="G1" s="238"/>
      <c r="H1" s="236"/>
      <c r="I1" s="1" t="s">
        <v>1</v>
      </c>
      <c r="J1" s="2"/>
      <c r="K1" s="2"/>
    </row>
    <row r="2" spans="1:12" ht="20.25" x14ac:dyDescent="0.25">
      <c r="A2" s="261" t="s">
        <v>2</v>
      </c>
      <c r="B2" s="238"/>
      <c r="C2" s="238"/>
      <c r="D2" s="238"/>
      <c r="E2" s="238"/>
      <c r="F2" s="238"/>
      <c r="G2" s="238"/>
      <c r="H2" s="236"/>
      <c r="I2" s="3"/>
      <c r="J2" s="2"/>
      <c r="K2" s="2"/>
    </row>
    <row r="3" spans="1:12" ht="21" x14ac:dyDescent="0.3">
      <c r="A3" s="263" t="s">
        <v>3</v>
      </c>
      <c r="B3" s="238"/>
      <c r="C3" s="236"/>
      <c r="D3" s="4">
        <v>43.6</v>
      </c>
      <c r="E3" s="263" t="s">
        <v>4</v>
      </c>
      <c r="F3" s="238"/>
      <c r="G3" s="238"/>
      <c r="H3" s="236"/>
      <c r="I3" s="1" t="s">
        <v>5</v>
      </c>
      <c r="J3" s="2"/>
      <c r="K3" s="2"/>
    </row>
    <row r="4" spans="1:12" ht="21" x14ac:dyDescent="0.3">
      <c r="A4" s="247" t="s">
        <v>6</v>
      </c>
      <c r="B4" s="238"/>
      <c r="C4" s="236"/>
      <c r="D4" s="4">
        <v>109.2</v>
      </c>
      <c r="E4" s="263" t="s">
        <v>4</v>
      </c>
      <c r="F4" s="238"/>
      <c r="G4" s="238"/>
      <c r="H4" s="236"/>
      <c r="I4" s="5"/>
      <c r="J4" s="2"/>
      <c r="K4" s="2"/>
    </row>
    <row r="5" spans="1:12" ht="21" x14ac:dyDescent="0.3">
      <c r="A5" s="247" t="s">
        <v>7</v>
      </c>
      <c r="B5" s="238"/>
      <c r="C5" s="236"/>
      <c r="D5" s="6">
        <v>1</v>
      </c>
      <c r="E5" s="263"/>
      <c r="F5" s="238"/>
      <c r="G5" s="238"/>
      <c r="H5" s="236"/>
      <c r="I5" s="7"/>
      <c r="J5" s="2"/>
      <c r="K5" s="2"/>
    </row>
    <row r="6" spans="1:12" ht="18" x14ac:dyDescent="0.2">
      <c r="A6" s="247" t="s">
        <v>8</v>
      </c>
      <c r="B6" s="236"/>
      <c r="C6" s="239"/>
      <c r="D6" s="238"/>
      <c r="E6" s="238"/>
      <c r="F6" s="238"/>
      <c r="G6" s="238"/>
      <c r="H6" s="236"/>
      <c r="I6" s="8"/>
      <c r="J6" s="2"/>
      <c r="K6" s="2"/>
    </row>
    <row r="7" spans="1:12" ht="17.25" customHeight="1" x14ac:dyDescent="0.2">
      <c r="A7" s="247" t="s">
        <v>9</v>
      </c>
      <c r="B7" s="236"/>
      <c r="C7" s="239"/>
      <c r="D7" s="238"/>
      <c r="E7" s="238"/>
      <c r="F7" s="238"/>
      <c r="G7" s="238"/>
      <c r="H7" s="236"/>
      <c r="I7" s="8"/>
      <c r="J7" s="2"/>
      <c r="K7" s="2"/>
    </row>
    <row r="8" spans="1:12" ht="18.75" customHeight="1" x14ac:dyDescent="0.3">
      <c r="A8" s="248" t="s">
        <v>10</v>
      </c>
      <c r="B8" s="242"/>
      <c r="C8" s="256" t="s">
        <v>11</v>
      </c>
      <c r="D8" s="266" t="s">
        <v>12</v>
      </c>
      <c r="E8" s="241"/>
      <c r="F8" s="242"/>
      <c r="G8" s="264" t="s">
        <v>13</v>
      </c>
      <c r="H8" s="264" t="s">
        <v>14</v>
      </c>
      <c r="I8" s="265" t="s">
        <v>15</v>
      </c>
      <c r="J8" s="238"/>
      <c r="K8" s="236"/>
    </row>
    <row r="9" spans="1:12" ht="19.5" customHeight="1" x14ac:dyDescent="0.3">
      <c r="A9" s="243"/>
      <c r="B9" s="245"/>
      <c r="C9" s="255"/>
      <c r="D9" s="243"/>
      <c r="E9" s="244"/>
      <c r="F9" s="245"/>
      <c r="G9" s="255"/>
      <c r="H9" s="255"/>
      <c r="I9" s="10" t="s">
        <v>16</v>
      </c>
      <c r="J9" s="10" t="s">
        <v>17</v>
      </c>
      <c r="K9" s="10" t="s">
        <v>18</v>
      </c>
    </row>
    <row r="10" spans="1:12" x14ac:dyDescent="0.2">
      <c r="A10" s="253" t="s">
        <v>19</v>
      </c>
      <c r="B10" s="11" t="s">
        <v>20</v>
      </c>
      <c r="C10" s="11" t="s">
        <v>21</v>
      </c>
      <c r="D10" s="249">
        <f>D4</f>
        <v>109.2</v>
      </c>
      <c r="E10" s="238"/>
      <c r="F10" s="236"/>
      <c r="G10" s="11">
        <f>D5*1</f>
        <v>1</v>
      </c>
      <c r="H10" s="11">
        <v>90</v>
      </c>
      <c r="I10" s="11" t="s">
        <v>21</v>
      </c>
      <c r="J10" s="11" t="s">
        <v>22</v>
      </c>
      <c r="K10" s="12">
        <f>D10*D5</f>
        <v>109.2</v>
      </c>
      <c r="L10" s="2"/>
    </row>
    <row r="11" spans="1:12" x14ac:dyDescent="0.2">
      <c r="A11" s="254"/>
      <c r="B11" s="11" t="s">
        <v>23</v>
      </c>
      <c r="C11" s="11" t="s">
        <v>24</v>
      </c>
      <c r="D11" s="249">
        <f>D4</f>
        <v>109.2</v>
      </c>
      <c r="E11" s="238"/>
      <c r="F11" s="236"/>
      <c r="G11" s="11">
        <f>D5*1</f>
        <v>1</v>
      </c>
      <c r="H11" s="11">
        <v>90</v>
      </c>
      <c r="I11" s="11" t="s">
        <v>24</v>
      </c>
      <c r="J11" s="11" t="s">
        <v>25</v>
      </c>
      <c r="K11" s="12">
        <f>D11*D5</f>
        <v>109.2</v>
      </c>
    </row>
    <row r="12" spans="1:12" x14ac:dyDescent="0.2">
      <c r="A12" s="255"/>
      <c r="B12" s="11" t="s">
        <v>26</v>
      </c>
      <c r="C12" s="11" t="s">
        <v>27</v>
      </c>
      <c r="D12" s="249">
        <f>D3-1.5</f>
        <v>42.1</v>
      </c>
      <c r="E12" s="238"/>
      <c r="F12" s="236"/>
      <c r="G12" s="11">
        <f>D5*2</f>
        <v>2</v>
      </c>
      <c r="H12" s="11">
        <v>90</v>
      </c>
      <c r="I12" s="11" t="s">
        <v>27</v>
      </c>
      <c r="J12" s="11" t="s">
        <v>28</v>
      </c>
      <c r="K12" s="12">
        <f>(D12*2)*D5</f>
        <v>84.2</v>
      </c>
    </row>
    <row r="13" spans="1:12" x14ac:dyDescent="0.2">
      <c r="A13" s="253" t="s">
        <v>29</v>
      </c>
      <c r="B13" s="11" t="s">
        <v>30</v>
      </c>
      <c r="C13" s="11" t="s">
        <v>31</v>
      </c>
      <c r="D13" s="249">
        <f>D3-3</f>
        <v>40.6</v>
      </c>
      <c r="E13" s="238"/>
      <c r="F13" s="236"/>
      <c r="G13" s="11">
        <f>D5*2</f>
        <v>2</v>
      </c>
      <c r="H13" s="11">
        <v>90</v>
      </c>
      <c r="I13" s="11" t="s">
        <v>31</v>
      </c>
      <c r="J13" s="11" t="s">
        <v>32</v>
      </c>
      <c r="K13" s="12">
        <f>(D13*2)*D5</f>
        <v>81.2</v>
      </c>
    </row>
    <row r="14" spans="1:12" x14ac:dyDescent="0.2">
      <c r="A14" s="254"/>
      <c r="B14" s="11" t="s">
        <v>33</v>
      </c>
      <c r="C14" s="11" t="s">
        <v>34</v>
      </c>
      <c r="D14" s="249">
        <f>D3-3</f>
        <v>40.6</v>
      </c>
      <c r="E14" s="238"/>
      <c r="F14" s="236"/>
      <c r="G14" s="11">
        <f>D5*2</f>
        <v>2</v>
      </c>
      <c r="H14" s="11">
        <v>90</v>
      </c>
      <c r="I14" s="11" t="s">
        <v>34</v>
      </c>
      <c r="J14" s="11" t="s">
        <v>35</v>
      </c>
      <c r="K14" s="12">
        <f>(D14*2)*D5</f>
        <v>81.2</v>
      </c>
    </row>
    <row r="15" spans="1:12" x14ac:dyDescent="0.2">
      <c r="A15" s="255"/>
      <c r="B15" s="11" t="s">
        <v>36</v>
      </c>
      <c r="C15" s="13" t="s">
        <v>37</v>
      </c>
      <c r="D15" s="249">
        <f>(D4-2.8)/2</f>
        <v>53.2</v>
      </c>
      <c r="E15" s="238"/>
      <c r="F15" s="236"/>
      <c r="G15" s="11">
        <f>D5*4</f>
        <v>4</v>
      </c>
      <c r="H15" s="11">
        <v>90</v>
      </c>
      <c r="I15" s="13" t="s">
        <v>37</v>
      </c>
      <c r="J15" s="11" t="s">
        <v>38</v>
      </c>
      <c r="K15" s="12">
        <f>(D10*2)*D5</f>
        <v>218.4</v>
      </c>
    </row>
    <row r="16" spans="1:12" ht="16.5" customHeight="1" x14ac:dyDescent="0.2">
      <c r="A16" s="259" t="s">
        <v>39</v>
      </c>
      <c r="B16" s="260" t="s">
        <v>40</v>
      </c>
      <c r="C16" s="268"/>
      <c r="D16" s="14" t="s">
        <v>3</v>
      </c>
      <c r="E16" s="267" t="s">
        <v>41</v>
      </c>
      <c r="F16" s="236"/>
      <c r="G16" s="15"/>
      <c r="H16" s="16"/>
      <c r="I16" s="2"/>
      <c r="J16" s="2"/>
      <c r="K16" s="2"/>
    </row>
    <row r="17" spans="1:17" x14ac:dyDescent="0.2">
      <c r="A17" s="255"/>
      <c r="B17" s="255"/>
      <c r="C17" s="255"/>
      <c r="D17" s="17">
        <f>D13-6.5</f>
        <v>34.1</v>
      </c>
      <c r="E17" s="235">
        <f>D15-2</f>
        <v>51.2</v>
      </c>
      <c r="F17" s="236"/>
      <c r="G17" s="16">
        <f>D5*2</f>
        <v>2</v>
      </c>
      <c r="H17" s="16"/>
      <c r="I17" s="8"/>
      <c r="M17" s="2"/>
      <c r="N17" s="2"/>
    </row>
    <row r="18" spans="1:17" x14ac:dyDescent="0.2">
      <c r="A18" s="18" t="s">
        <v>42</v>
      </c>
      <c r="B18" s="11">
        <v>5020</v>
      </c>
      <c r="C18" s="19"/>
      <c r="D18" s="257"/>
      <c r="E18" s="238"/>
      <c r="F18" s="236"/>
      <c r="G18" s="11">
        <f>(D17*4)+(E17*4)*D5</f>
        <v>341.20000000000005</v>
      </c>
      <c r="H18" s="11" t="s">
        <v>43</v>
      </c>
      <c r="I18" s="8"/>
      <c r="M18" s="2"/>
      <c r="N18" s="2"/>
    </row>
    <row r="19" spans="1:17" x14ac:dyDescent="0.2">
      <c r="A19" s="18" t="s">
        <v>44</v>
      </c>
      <c r="B19" s="11" t="s">
        <v>45</v>
      </c>
      <c r="C19" s="11"/>
      <c r="D19" s="246"/>
      <c r="E19" s="238"/>
      <c r="F19" s="236"/>
      <c r="G19" s="11">
        <f>D5*8</f>
        <v>8</v>
      </c>
      <c r="H19" s="11"/>
      <c r="I19" s="258"/>
      <c r="J19" s="2"/>
      <c r="K19" s="2"/>
      <c r="L19" s="2"/>
      <c r="M19" s="2"/>
      <c r="N19" s="2"/>
    </row>
    <row r="20" spans="1:17" x14ac:dyDescent="0.2">
      <c r="A20" s="18"/>
      <c r="B20" s="11" t="s">
        <v>46</v>
      </c>
      <c r="C20" s="11"/>
      <c r="D20" s="21"/>
      <c r="E20" s="21"/>
      <c r="F20" s="22"/>
      <c r="G20" s="22">
        <f>D5*8</f>
        <v>8</v>
      </c>
      <c r="H20" s="11"/>
      <c r="I20" s="251"/>
      <c r="J20" s="2"/>
      <c r="K20" s="2"/>
      <c r="L20" s="2"/>
      <c r="M20" s="2"/>
      <c r="N20" s="2"/>
    </row>
    <row r="21" spans="1:17" ht="15.75" customHeight="1" x14ac:dyDescent="0.2">
      <c r="A21" s="18"/>
      <c r="B21" s="11" t="s">
        <v>47</v>
      </c>
      <c r="C21" s="11"/>
      <c r="D21" s="20"/>
      <c r="E21" s="23"/>
      <c r="F21" s="22"/>
      <c r="G21" s="22">
        <f>D5*4</f>
        <v>4</v>
      </c>
      <c r="H21" s="11"/>
      <c r="I21" s="251"/>
      <c r="J21" s="2"/>
      <c r="K21" s="2"/>
      <c r="L21" s="2"/>
      <c r="M21" s="2"/>
      <c r="N21" s="2"/>
    </row>
    <row r="22" spans="1:17" ht="15.75" customHeight="1" x14ac:dyDescent="0.2">
      <c r="A22" s="18" t="s">
        <v>48</v>
      </c>
      <c r="B22" s="24" t="s">
        <v>49</v>
      </c>
      <c r="C22" s="11"/>
      <c r="D22" s="25"/>
      <c r="E22" s="21"/>
      <c r="F22" s="26"/>
      <c r="G22" s="22">
        <f>D5*2</f>
        <v>2</v>
      </c>
      <c r="H22" s="11"/>
      <c r="I22" s="8"/>
      <c r="J22" s="2"/>
      <c r="K22" s="27"/>
      <c r="L22" s="2"/>
      <c r="M22" s="2"/>
      <c r="N22" s="2"/>
    </row>
    <row r="23" spans="1:17" ht="15.75" customHeight="1" x14ac:dyDescent="0.2">
      <c r="A23" s="18" t="s">
        <v>50</v>
      </c>
      <c r="B23" s="11" t="s">
        <v>51</v>
      </c>
      <c r="C23" s="11">
        <v>5020</v>
      </c>
      <c r="D23" s="237"/>
      <c r="E23" s="238"/>
      <c r="F23" s="236"/>
      <c r="G23" s="22">
        <f>D5*2</f>
        <v>2</v>
      </c>
      <c r="H23" s="11"/>
      <c r="I23" s="8"/>
      <c r="J23" s="2"/>
      <c r="K23" s="2"/>
      <c r="L23" s="2"/>
      <c r="M23" s="2"/>
      <c r="N23" s="2"/>
    </row>
    <row r="24" spans="1:17" ht="15.75" customHeight="1" x14ac:dyDescent="0.2">
      <c r="A24" s="18" t="s">
        <v>52</v>
      </c>
      <c r="B24" s="28">
        <v>0.25</v>
      </c>
      <c r="C24" s="11"/>
      <c r="D24" s="20"/>
      <c r="E24" s="23"/>
      <c r="F24" s="22"/>
      <c r="G24" s="22">
        <f>D5*4</f>
        <v>4</v>
      </c>
      <c r="H24" s="11"/>
      <c r="I24" s="8"/>
      <c r="J24" s="2"/>
      <c r="K24" s="2"/>
      <c r="L24" s="2"/>
      <c r="M24" s="2"/>
      <c r="N24" s="2"/>
    </row>
    <row r="25" spans="1:17" ht="15.75" customHeight="1" x14ac:dyDescent="0.2">
      <c r="A25" s="18" t="s">
        <v>53</v>
      </c>
      <c r="B25" s="11">
        <v>5020</v>
      </c>
      <c r="C25" s="11"/>
      <c r="D25" s="246"/>
      <c r="E25" s="238"/>
      <c r="F25" s="236"/>
      <c r="G25" s="22">
        <f>D5*4</f>
        <v>4</v>
      </c>
      <c r="H25" s="11"/>
      <c r="I25" s="8"/>
      <c r="J25" s="2"/>
      <c r="K25" s="2"/>
      <c r="L25" s="2"/>
      <c r="M25" s="2"/>
      <c r="N25" s="2"/>
    </row>
    <row r="26" spans="1:17" ht="15.75" customHeight="1" x14ac:dyDescent="0.2">
      <c r="A26" s="18" t="s">
        <v>54</v>
      </c>
      <c r="B26" s="11" t="s">
        <v>55</v>
      </c>
      <c r="C26" s="11"/>
      <c r="D26" s="246"/>
      <c r="E26" s="238"/>
      <c r="F26" s="236"/>
      <c r="G26" s="22">
        <f>D5*1</f>
        <v>1</v>
      </c>
      <c r="H26" s="11"/>
      <c r="I26" s="8"/>
      <c r="J26" s="2"/>
      <c r="K26" s="2"/>
      <c r="O26" s="2"/>
      <c r="P26" s="2"/>
      <c r="Q26" s="2"/>
    </row>
    <row r="27" spans="1:17" ht="15.75" customHeight="1" x14ac:dyDescent="0.2">
      <c r="A27" s="239" t="s">
        <v>56</v>
      </c>
      <c r="B27" s="236"/>
      <c r="C27" s="239"/>
      <c r="D27" s="238"/>
      <c r="E27" s="238"/>
      <c r="F27" s="238"/>
      <c r="G27" s="238"/>
      <c r="H27" s="236"/>
      <c r="I27" s="8"/>
      <c r="J27" s="2"/>
      <c r="K27" s="2"/>
    </row>
    <row r="28" spans="1:17" ht="15.75" customHeight="1" x14ac:dyDescent="0.2">
      <c r="A28" s="239" t="s">
        <v>57</v>
      </c>
      <c r="B28" s="236"/>
      <c r="C28" s="239"/>
      <c r="D28" s="238"/>
      <c r="E28" s="238"/>
      <c r="F28" s="238"/>
      <c r="G28" s="238"/>
      <c r="H28" s="236"/>
      <c r="I28" s="8"/>
      <c r="J28" s="2"/>
      <c r="K28" s="2"/>
    </row>
    <row r="29" spans="1:17" ht="15.75" customHeight="1" x14ac:dyDescent="0.2">
      <c r="A29" s="240" t="s">
        <v>58</v>
      </c>
      <c r="B29" s="241"/>
      <c r="C29" s="241"/>
      <c r="D29" s="241"/>
      <c r="E29" s="242"/>
      <c r="F29" s="239"/>
      <c r="G29" s="238"/>
      <c r="H29" s="236"/>
      <c r="I29" s="8"/>
      <c r="J29" s="2"/>
      <c r="K29" s="2"/>
    </row>
    <row r="30" spans="1:17" ht="15.75" customHeight="1" x14ac:dyDescent="0.2">
      <c r="A30" s="243"/>
      <c r="B30" s="244"/>
      <c r="C30" s="244"/>
      <c r="D30" s="244"/>
      <c r="E30" s="245"/>
      <c r="F30" s="239" t="s">
        <v>59</v>
      </c>
      <c r="G30" s="238"/>
      <c r="H30" s="236"/>
      <c r="I30" s="8"/>
      <c r="J30" s="2"/>
      <c r="K30" s="2"/>
    </row>
    <row r="31" spans="1:17" ht="15.75" customHeight="1" x14ac:dyDescent="0.2">
      <c r="A31" s="29"/>
      <c r="B31" s="30"/>
      <c r="C31" s="31"/>
      <c r="D31" s="30"/>
      <c r="E31" s="30"/>
      <c r="F31" s="30"/>
      <c r="G31" s="30"/>
      <c r="H31" s="30"/>
      <c r="I31" s="32"/>
      <c r="J31" s="2"/>
      <c r="K31" s="2"/>
    </row>
    <row r="32" spans="1:17" ht="15.75" customHeight="1" x14ac:dyDescent="0.2">
      <c r="A32" s="29"/>
      <c r="B32" s="30"/>
      <c r="C32" s="30"/>
      <c r="D32" s="30"/>
      <c r="E32" s="30"/>
      <c r="F32" s="250"/>
      <c r="G32" s="30"/>
      <c r="H32" s="30"/>
      <c r="I32" s="32"/>
      <c r="J32" s="2"/>
      <c r="K32" s="2"/>
    </row>
    <row r="33" spans="1:11" ht="15.75" customHeight="1" x14ac:dyDescent="0.2">
      <c r="A33" s="29"/>
      <c r="B33" s="30"/>
      <c r="C33" s="30"/>
      <c r="D33" s="30"/>
      <c r="E33" s="30"/>
      <c r="F33" s="251"/>
      <c r="G33" s="30"/>
      <c r="H33" s="30"/>
      <c r="I33" s="32"/>
      <c r="J33" s="2"/>
      <c r="K33" s="2"/>
    </row>
    <row r="34" spans="1:11" ht="15.75" customHeight="1" x14ac:dyDescent="0.2">
      <c r="A34" s="29"/>
      <c r="B34" s="30"/>
      <c r="C34" s="30"/>
      <c r="D34" s="30"/>
      <c r="E34" s="30"/>
      <c r="F34" s="251"/>
      <c r="G34" s="30"/>
      <c r="H34" s="30"/>
      <c r="I34" s="32"/>
      <c r="J34" s="2"/>
      <c r="K34" s="2"/>
    </row>
    <row r="35" spans="1:11" ht="15.75" customHeight="1" x14ac:dyDescent="0.3">
      <c r="A35" s="29"/>
      <c r="B35" s="30"/>
      <c r="C35" s="30"/>
      <c r="D35" s="30"/>
      <c r="E35" s="33">
        <f>D3</f>
        <v>43.6</v>
      </c>
      <c r="F35" s="251"/>
      <c r="G35" s="30"/>
      <c r="H35" s="30"/>
      <c r="I35" s="32"/>
      <c r="J35" s="2"/>
      <c r="K35" s="2"/>
    </row>
    <row r="36" spans="1:11" ht="15.75" customHeight="1" x14ac:dyDescent="0.2">
      <c r="A36" s="34"/>
      <c r="B36" s="30"/>
      <c r="C36" s="30"/>
      <c r="D36" s="30"/>
      <c r="E36" s="30"/>
      <c r="F36" s="251"/>
      <c r="G36" s="30"/>
      <c r="H36" s="30"/>
      <c r="I36" s="32"/>
      <c r="J36" s="2"/>
      <c r="K36" s="2"/>
    </row>
    <row r="37" spans="1:11" ht="15.75" customHeight="1" x14ac:dyDescent="0.2">
      <c r="A37" s="29"/>
      <c r="B37" s="30"/>
      <c r="C37" s="30"/>
      <c r="D37" s="30"/>
      <c r="E37" s="30"/>
      <c r="F37" s="251"/>
      <c r="G37" s="30"/>
      <c r="H37" s="30"/>
      <c r="I37" s="32"/>
      <c r="J37" s="2"/>
      <c r="K37" s="2"/>
    </row>
    <row r="38" spans="1:11" ht="15.75" customHeight="1" x14ac:dyDescent="0.2">
      <c r="A38" s="29"/>
      <c r="B38" s="30"/>
      <c r="C38" s="30"/>
      <c r="D38" s="30"/>
      <c r="E38" s="30"/>
      <c r="F38" s="251"/>
      <c r="G38" s="30"/>
      <c r="H38" s="30"/>
      <c r="I38" s="32"/>
      <c r="J38" s="2"/>
      <c r="K38" s="2"/>
    </row>
    <row r="39" spans="1:11" ht="15.75" customHeight="1" x14ac:dyDescent="0.2">
      <c r="A39" s="29"/>
      <c r="B39" s="30"/>
      <c r="C39" s="30"/>
      <c r="D39" s="30"/>
      <c r="E39" s="30"/>
      <c r="F39" s="251"/>
      <c r="G39" s="30"/>
      <c r="H39" s="30"/>
      <c r="I39" s="32"/>
      <c r="J39" s="2"/>
      <c r="K39" s="2"/>
    </row>
    <row r="40" spans="1:11" ht="15.75" customHeight="1" x14ac:dyDescent="0.2">
      <c r="A40" s="29"/>
      <c r="B40" s="30"/>
      <c r="C40" s="30"/>
      <c r="D40" s="30"/>
      <c r="E40" s="30"/>
      <c r="F40" s="251"/>
      <c r="G40" s="30"/>
      <c r="H40" s="30"/>
      <c r="I40" s="32"/>
      <c r="J40" s="2"/>
      <c r="K40" s="2"/>
    </row>
    <row r="41" spans="1:11" ht="15.75" customHeight="1" x14ac:dyDescent="0.2">
      <c r="A41" s="29"/>
      <c r="B41" s="30"/>
      <c r="C41" s="30"/>
      <c r="D41" s="30"/>
      <c r="E41" s="30"/>
      <c r="F41" s="251"/>
      <c r="G41" s="30"/>
      <c r="H41" s="30"/>
      <c r="I41" s="32"/>
      <c r="J41" s="2"/>
      <c r="K41" s="2"/>
    </row>
    <row r="42" spans="1:11" ht="15.75" customHeight="1" x14ac:dyDescent="0.3">
      <c r="A42" s="29"/>
      <c r="B42" s="252">
        <f>D4</f>
        <v>109.2</v>
      </c>
      <c r="C42" s="251"/>
      <c r="D42" s="251"/>
      <c r="E42" s="30"/>
      <c r="F42" s="2"/>
      <c r="G42" s="30"/>
      <c r="H42" s="30"/>
      <c r="I42" s="32"/>
      <c r="J42" s="2"/>
      <c r="K42" s="2"/>
    </row>
    <row r="43" spans="1:11" ht="15.75" customHeight="1" x14ac:dyDescent="0.2">
      <c r="A43" s="29"/>
      <c r="B43" s="30"/>
      <c r="C43" s="31"/>
      <c r="D43" s="30"/>
      <c r="E43" s="30"/>
      <c r="F43" s="30"/>
      <c r="G43" s="30"/>
      <c r="H43" s="30"/>
      <c r="I43" s="32"/>
      <c r="J43" s="2"/>
      <c r="K43" s="2"/>
    </row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46">
    <mergeCell ref="H8:H9"/>
    <mergeCell ref="G8:G9"/>
    <mergeCell ref="I8:K8"/>
    <mergeCell ref="D8:F9"/>
    <mergeCell ref="C7:H7"/>
    <mergeCell ref="A2:H2"/>
    <mergeCell ref="A1:H1"/>
    <mergeCell ref="E3:H3"/>
    <mergeCell ref="E4:H4"/>
    <mergeCell ref="E5:H5"/>
    <mergeCell ref="A4:C4"/>
    <mergeCell ref="A3:C3"/>
    <mergeCell ref="I19:I21"/>
    <mergeCell ref="C27:H27"/>
    <mergeCell ref="F29:H29"/>
    <mergeCell ref="F30:H30"/>
    <mergeCell ref="C28:H28"/>
    <mergeCell ref="B42:D42"/>
    <mergeCell ref="A13:A15"/>
    <mergeCell ref="A5:C5"/>
    <mergeCell ref="D25:F25"/>
    <mergeCell ref="C8:C9"/>
    <mergeCell ref="D18:F18"/>
    <mergeCell ref="D19:F19"/>
    <mergeCell ref="A7:B7"/>
    <mergeCell ref="A10:A12"/>
    <mergeCell ref="D15:F15"/>
    <mergeCell ref="D14:F14"/>
    <mergeCell ref="A16:A17"/>
    <mergeCell ref="B16:B17"/>
    <mergeCell ref="C6:H6"/>
    <mergeCell ref="D11:F11"/>
    <mergeCell ref="D10:F10"/>
    <mergeCell ref="A6:B6"/>
    <mergeCell ref="A8:B9"/>
    <mergeCell ref="D12:F12"/>
    <mergeCell ref="D13:F13"/>
    <mergeCell ref="F32:F41"/>
    <mergeCell ref="E16:F16"/>
    <mergeCell ref="C16:C17"/>
    <mergeCell ref="E17:F17"/>
    <mergeCell ref="D23:F23"/>
    <mergeCell ref="A28:B28"/>
    <mergeCell ref="A29:E30"/>
    <mergeCell ref="A27:B27"/>
    <mergeCell ref="D26:F2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390625" defaultRowHeight="15" customHeight="1" x14ac:dyDescent="0.2"/>
  <cols>
    <col min="1" max="1" width="15.87109375" customWidth="1"/>
    <col min="2" max="2" width="18.0234375" customWidth="1"/>
    <col min="3" max="3" width="9.55078125" customWidth="1"/>
    <col min="4" max="4" width="13.5859375" customWidth="1"/>
    <col min="5" max="5" width="8.7421875" customWidth="1"/>
    <col min="6" max="6" width="3.8984375" customWidth="1"/>
    <col min="7" max="7" width="6.58984375" customWidth="1"/>
    <col min="8" max="8" width="9.55078125" customWidth="1"/>
    <col min="9" max="9" width="16.140625" customWidth="1"/>
    <col min="10" max="10" width="18.16015625" customWidth="1"/>
    <col min="11" max="11" width="14.66015625" customWidth="1"/>
  </cols>
  <sheetData>
    <row r="1" spans="1:11" ht="23.25" x14ac:dyDescent="0.3">
      <c r="A1" s="262" t="s">
        <v>0</v>
      </c>
      <c r="B1" s="238"/>
      <c r="C1" s="238"/>
      <c r="D1" s="238"/>
      <c r="E1" s="238"/>
      <c r="F1" s="238"/>
      <c r="G1" s="238"/>
      <c r="H1" s="236"/>
      <c r="I1" s="1" t="s">
        <v>1</v>
      </c>
      <c r="J1" s="2"/>
      <c r="K1" s="2"/>
    </row>
    <row r="2" spans="1:11" ht="21" customHeight="1" x14ac:dyDescent="0.25">
      <c r="A2" s="261" t="s">
        <v>60</v>
      </c>
      <c r="B2" s="238"/>
      <c r="C2" s="238"/>
      <c r="D2" s="238"/>
      <c r="E2" s="238"/>
      <c r="F2" s="238"/>
      <c r="G2" s="238"/>
      <c r="H2" s="236"/>
      <c r="I2" s="3"/>
      <c r="J2" s="2"/>
      <c r="K2" s="2"/>
    </row>
    <row r="3" spans="1:11" ht="21" x14ac:dyDescent="0.3">
      <c r="A3" s="263" t="s">
        <v>3</v>
      </c>
      <c r="B3" s="238"/>
      <c r="C3" s="236"/>
      <c r="D3" s="35">
        <v>150</v>
      </c>
      <c r="E3" s="263" t="s">
        <v>4</v>
      </c>
      <c r="F3" s="238"/>
      <c r="G3" s="238"/>
      <c r="H3" s="236"/>
      <c r="I3" s="1" t="s">
        <v>5</v>
      </c>
      <c r="J3" s="2"/>
      <c r="K3" s="2"/>
    </row>
    <row r="4" spans="1:11" ht="21" x14ac:dyDescent="0.3">
      <c r="A4" s="247" t="s">
        <v>6</v>
      </c>
      <c r="B4" s="238"/>
      <c r="C4" s="236"/>
      <c r="D4" s="35">
        <v>300</v>
      </c>
      <c r="E4" s="263" t="s">
        <v>4</v>
      </c>
      <c r="F4" s="238"/>
      <c r="G4" s="238"/>
      <c r="H4" s="236"/>
      <c r="I4" s="5"/>
      <c r="J4" s="2"/>
      <c r="K4" s="2"/>
    </row>
    <row r="5" spans="1:11" ht="21" x14ac:dyDescent="0.3">
      <c r="A5" s="247" t="s">
        <v>7</v>
      </c>
      <c r="B5" s="238"/>
      <c r="C5" s="236"/>
      <c r="D5" s="36">
        <v>1</v>
      </c>
      <c r="E5" s="263"/>
      <c r="F5" s="238"/>
      <c r="G5" s="238"/>
      <c r="H5" s="236"/>
      <c r="I5" s="37"/>
      <c r="J5" s="2"/>
      <c r="K5" s="2"/>
    </row>
    <row r="6" spans="1:11" ht="18" x14ac:dyDescent="0.2">
      <c r="A6" s="247" t="s">
        <v>8</v>
      </c>
      <c r="B6" s="236"/>
      <c r="C6" s="239"/>
      <c r="D6" s="238"/>
      <c r="E6" s="238"/>
      <c r="F6" s="238"/>
      <c r="G6" s="238"/>
      <c r="H6" s="236"/>
      <c r="J6" s="2"/>
      <c r="K6" s="2"/>
    </row>
    <row r="7" spans="1:11" ht="15.75" customHeight="1" x14ac:dyDescent="0.2">
      <c r="A7" s="247" t="s">
        <v>9</v>
      </c>
      <c r="B7" s="236"/>
      <c r="C7" s="239"/>
      <c r="D7" s="238"/>
      <c r="E7" s="238"/>
      <c r="F7" s="238"/>
      <c r="G7" s="238"/>
      <c r="H7" s="236"/>
      <c r="I7" s="32"/>
      <c r="J7" s="2"/>
      <c r="K7" s="2"/>
    </row>
    <row r="8" spans="1:11" ht="15" customHeight="1" x14ac:dyDescent="0.2">
      <c r="A8" s="248" t="s">
        <v>61</v>
      </c>
      <c r="B8" s="242"/>
      <c r="C8" s="256" t="s">
        <v>11</v>
      </c>
      <c r="D8" s="266" t="s">
        <v>12</v>
      </c>
      <c r="E8" s="241"/>
      <c r="F8" s="242"/>
      <c r="G8" s="264" t="s">
        <v>13</v>
      </c>
      <c r="H8" s="264" t="s">
        <v>14</v>
      </c>
      <c r="I8" s="32"/>
      <c r="J8" s="2"/>
      <c r="K8" s="2"/>
    </row>
    <row r="9" spans="1:11" ht="21" x14ac:dyDescent="0.3">
      <c r="A9" s="243"/>
      <c r="B9" s="245"/>
      <c r="C9" s="255"/>
      <c r="D9" s="243"/>
      <c r="E9" s="244"/>
      <c r="F9" s="245"/>
      <c r="G9" s="255"/>
      <c r="H9" s="255"/>
      <c r="I9" s="273" t="s">
        <v>15</v>
      </c>
      <c r="J9" s="238"/>
      <c r="K9" s="236"/>
    </row>
    <row r="10" spans="1:11" ht="21" x14ac:dyDescent="0.3">
      <c r="A10" s="270" t="s">
        <v>19</v>
      </c>
      <c r="B10" s="11" t="s">
        <v>20</v>
      </c>
      <c r="C10" s="11" t="s">
        <v>21</v>
      </c>
      <c r="D10" s="249">
        <f>D4</f>
        <v>300</v>
      </c>
      <c r="E10" s="238"/>
      <c r="F10" s="236"/>
      <c r="G10" s="11">
        <f>D5*1</f>
        <v>1</v>
      </c>
      <c r="H10" s="11">
        <v>90</v>
      </c>
      <c r="I10" s="39" t="s">
        <v>16</v>
      </c>
      <c r="J10" s="39" t="s">
        <v>17</v>
      </c>
      <c r="K10" s="39" t="s">
        <v>18</v>
      </c>
    </row>
    <row r="11" spans="1:11" x14ac:dyDescent="0.2">
      <c r="A11" s="254"/>
      <c r="B11" s="11" t="s">
        <v>23</v>
      </c>
      <c r="C11" s="11" t="s">
        <v>24</v>
      </c>
      <c r="D11" s="249">
        <f>D4</f>
        <v>300</v>
      </c>
      <c r="E11" s="238"/>
      <c r="F11" s="236"/>
      <c r="G11" s="11">
        <f>D5*1</f>
        <v>1</v>
      </c>
      <c r="H11" s="11">
        <v>90</v>
      </c>
      <c r="I11" s="40" t="s">
        <v>21</v>
      </c>
      <c r="J11" s="40" t="s">
        <v>22</v>
      </c>
      <c r="K11" s="41">
        <f>D10*D5</f>
        <v>300</v>
      </c>
    </row>
    <row r="12" spans="1:11" x14ac:dyDescent="0.2">
      <c r="A12" s="255"/>
      <c r="B12" s="11" t="s">
        <v>26</v>
      </c>
      <c r="C12" s="11" t="s">
        <v>27</v>
      </c>
      <c r="D12" s="249">
        <f>D3-1.5</f>
        <v>148.5</v>
      </c>
      <c r="E12" s="238"/>
      <c r="F12" s="236"/>
      <c r="G12" s="11">
        <f>D5*2</f>
        <v>2</v>
      </c>
      <c r="H12" s="11">
        <v>90</v>
      </c>
      <c r="I12" s="40" t="s">
        <v>24</v>
      </c>
      <c r="J12" s="40" t="s">
        <v>25</v>
      </c>
      <c r="K12" s="41">
        <f>D11*D5</f>
        <v>300</v>
      </c>
    </row>
    <row r="13" spans="1:11" x14ac:dyDescent="0.2">
      <c r="A13" s="270" t="s">
        <v>29</v>
      </c>
      <c r="B13" s="11" t="s">
        <v>30</v>
      </c>
      <c r="C13" s="11" t="s">
        <v>31</v>
      </c>
      <c r="D13" s="249">
        <f>D3-3</f>
        <v>147</v>
      </c>
      <c r="E13" s="238"/>
      <c r="F13" s="236"/>
      <c r="G13" s="11">
        <f>D5*4</f>
        <v>4</v>
      </c>
      <c r="H13" s="11">
        <v>90</v>
      </c>
      <c r="I13" s="40" t="s">
        <v>27</v>
      </c>
      <c r="J13" s="40" t="s">
        <v>28</v>
      </c>
      <c r="K13" s="41">
        <f>(D12*2)*D5</f>
        <v>297</v>
      </c>
    </row>
    <row r="14" spans="1:11" x14ac:dyDescent="0.2">
      <c r="A14" s="254"/>
      <c r="B14" s="11" t="s">
        <v>33</v>
      </c>
      <c r="C14" s="11" t="s">
        <v>34</v>
      </c>
      <c r="D14" s="249">
        <f>D3-3</f>
        <v>147</v>
      </c>
      <c r="E14" s="238"/>
      <c r="F14" s="236"/>
      <c r="G14" s="11">
        <f>D5*2</f>
        <v>2</v>
      </c>
      <c r="H14" s="11">
        <v>90</v>
      </c>
      <c r="I14" s="40" t="s">
        <v>31</v>
      </c>
      <c r="J14" s="40" t="s">
        <v>32</v>
      </c>
      <c r="K14" s="41">
        <f>(D13*2)*D5</f>
        <v>294</v>
      </c>
    </row>
    <row r="15" spans="1:11" x14ac:dyDescent="0.2">
      <c r="A15" s="254"/>
      <c r="B15" s="11" t="s">
        <v>62</v>
      </c>
      <c r="C15" s="276" t="s">
        <v>37</v>
      </c>
      <c r="D15" s="249">
        <f>(D4-11)/4</f>
        <v>72.25</v>
      </c>
      <c r="E15" s="238"/>
      <c r="F15" s="236"/>
      <c r="G15" s="11">
        <f>D5*4</f>
        <v>4</v>
      </c>
      <c r="H15" s="11">
        <v>90</v>
      </c>
      <c r="I15" s="40" t="s">
        <v>34</v>
      </c>
      <c r="J15" s="40" t="s">
        <v>35</v>
      </c>
      <c r="K15" s="41">
        <f>(D14*2)*D5</f>
        <v>294</v>
      </c>
    </row>
    <row r="16" spans="1:11" x14ac:dyDescent="0.2">
      <c r="A16" s="255"/>
      <c r="B16" s="11" t="s">
        <v>63</v>
      </c>
      <c r="C16" s="255"/>
      <c r="D16" s="249">
        <f>((D4+8.4)/4)*2</f>
        <v>154.19999999999999</v>
      </c>
      <c r="E16" s="238"/>
      <c r="F16" s="236"/>
      <c r="G16" s="11">
        <f>D5*2</f>
        <v>2</v>
      </c>
      <c r="H16" s="11">
        <v>90</v>
      </c>
      <c r="I16" s="42" t="s">
        <v>37</v>
      </c>
      <c r="J16" s="40" t="s">
        <v>38</v>
      </c>
      <c r="K16" s="41">
        <f>(D15*4)+(D16*2)*D5</f>
        <v>597.4</v>
      </c>
    </row>
    <row r="17" spans="1:11" ht="22.5" customHeight="1" x14ac:dyDescent="0.2">
      <c r="A17" s="277" t="s">
        <v>39</v>
      </c>
      <c r="B17" s="43" t="s">
        <v>64</v>
      </c>
      <c r="C17" s="44"/>
      <c r="D17" s="45" t="s">
        <v>3</v>
      </c>
      <c r="E17" s="274" t="s">
        <v>41</v>
      </c>
      <c r="F17" s="236"/>
      <c r="G17" s="46"/>
      <c r="H17" s="47"/>
      <c r="I17" s="32"/>
      <c r="J17" s="2"/>
      <c r="K17" s="2"/>
    </row>
    <row r="18" spans="1:11" x14ac:dyDescent="0.2">
      <c r="A18" s="254"/>
      <c r="B18" s="48" t="s">
        <v>65</v>
      </c>
      <c r="C18" s="49"/>
      <c r="D18" s="50">
        <f>D13-6.5</f>
        <v>140.5</v>
      </c>
      <c r="E18" s="275">
        <f>D15-1.9</f>
        <v>70.349999999999994</v>
      </c>
      <c r="F18" s="236"/>
      <c r="G18" s="47">
        <f>D5*2</f>
        <v>2</v>
      </c>
      <c r="H18" s="47"/>
      <c r="I18" s="32"/>
      <c r="J18" s="2"/>
      <c r="K18" s="2"/>
    </row>
    <row r="19" spans="1:11" x14ac:dyDescent="0.2">
      <c r="A19" s="255"/>
      <c r="B19" s="48" t="s">
        <v>66</v>
      </c>
      <c r="C19" s="48"/>
      <c r="D19" s="50">
        <f>D13-6.5</f>
        <v>140.5</v>
      </c>
      <c r="E19" s="275">
        <f>D16-3</f>
        <v>151.19999999999999</v>
      </c>
      <c r="F19" s="236"/>
      <c r="G19" s="47">
        <f>D5*1</f>
        <v>1</v>
      </c>
      <c r="H19" s="47"/>
      <c r="I19" s="32"/>
      <c r="J19" s="2"/>
      <c r="K19" s="2"/>
    </row>
    <row r="20" spans="1:11" x14ac:dyDescent="0.2">
      <c r="A20" s="11" t="s">
        <v>42</v>
      </c>
      <c r="B20" s="11">
        <v>5020</v>
      </c>
      <c r="C20" s="51"/>
      <c r="D20" s="257"/>
      <c r="E20" s="238"/>
      <c r="F20" s="236"/>
      <c r="G20" s="52">
        <f>(D18*4)+(E18*4)+(D19*2)+(E19*2)*D5</f>
        <v>1426.8000000000002</v>
      </c>
      <c r="H20" s="11" t="s">
        <v>43</v>
      </c>
      <c r="I20" s="32"/>
      <c r="J20" s="2"/>
      <c r="K20" s="2"/>
    </row>
    <row r="21" spans="1:11" ht="15.75" customHeight="1" x14ac:dyDescent="0.2">
      <c r="A21" s="11" t="s">
        <v>44</v>
      </c>
      <c r="B21" s="11" t="s">
        <v>67</v>
      </c>
      <c r="C21" s="11"/>
      <c r="D21" s="237"/>
      <c r="E21" s="238"/>
      <c r="F21" s="236"/>
      <c r="G21" s="11">
        <f>D5*16</f>
        <v>16</v>
      </c>
      <c r="H21" s="11"/>
      <c r="I21" s="32"/>
      <c r="J21" s="2"/>
      <c r="K21" s="2"/>
    </row>
    <row r="22" spans="1:11" ht="15.75" customHeight="1" x14ac:dyDescent="0.2">
      <c r="A22" s="11"/>
      <c r="B22" s="11" t="s">
        <v>68</v>
      </c>
      <c r="C22" s="11"/>
      <c r="D22" s="20"/>
      <c r="E22" s="23"/>
      <c r="F22" s="22"/>
      <c r="G22" s="22">
        <f>D5*4</f>
        <v>4</v>
      </c>
      <c r="H22" s="11"/>
      <c r="I22" s="32"/>
      <c r="J22" s="2"/>
      <c r="K22" s="2"/>
    </row>
    <row r="23" spans="1:11" ht="15.75" customHeight="1" x14ac:dyDescent="0.2">
      <c r="A23" s="11"/>
      <c r="B23" s="11" t="s">
        <v>69</v>
      </c>
      <c r="C23" s="11"/>
      <c r="D23" s="269"/>
      <c r="E23" s="244"/>
      <c r="F23" s="245"/>
      <c r="G23" s="11">
        <f>D5*6</f>
        <v>6</v>
      </c>
      <c r="H23" s="11"/>
      <c r="I23" s="32"/>
      <c r="J23" s="2"/>
      <c r="K23" s="2"/>
    </row>
    <row r="24" spans="1:11" ht="15.75" customHeight="1" x14ac:dyDescent="0.2">
      <c r="A24" s="11" t="s">
        <v>50</v>
      </c>
      <c r="B24" s="11" t="s">
        <v>51</v>
      </c>
      <c r="C24" s="11">
        <v>5020</v>
      </c>
      <c r="D24" s="246"/>
      <c r="E24" s="238"/>
      <c r="F24" s="236"/>
      <c r="G24" s="11">
        <f>D5*4</f>
        <v>4</v>
      </c>
      <c r="H24" s="11"/>
      <c r="I24" s="32"/>
      <c r="J24" s="2"/>
      <c r="K24" s="2"/>
    </row>
    <row r="25" spans="1:11" ht="15.75" customHeight="1" x14ac:dyDescent="0.2">
      <c r="A25" s="11" t="s">
        <v>70</v>
      </c>
      <c r="B25" s="28">
        <v>0.25</v>
      </c>
      <c r="C25" s="11"/>
      <c r="D25" s="246"/>
      <c r="E25" s="238"/>
      <c r="F25" s="236"/>
      <c r="G25" s="11">
        <f>D5*6</f>
        <v>6</v>
      </c>
      <c r="H25" s="11"/>
      <c r="I25" s="32"/>
      <c r="J25" s="2"/>
      <c r="K25" s="2"/>
    </row>
    <row r="26" spans="1:11" ht="15.75" customHeight="1" x14ac:dyDescent="0.2">
      <c r="A26" s="11" t="s">
        <v>48</v>
      </c>
      <c r="B26" s="24" t="s">
        <v>49</v>
      </c>
      <c r="C26" s="11"/>
      <c r="D26" s="246"/>
      <c r="E26" s="238"/>
      <c r="F26" s="236"/>
      <c r="G26" s="11">
        <f>D5*4</f>
        <v>4</v>
      </c>
      <c r="H26" s="11"/>
      <c r="I26" s="32"/>
      <c r="J26" s="2"/>
      <c r="K26" s="2"/>
    </row>
    <row r="27" spans="1:11" ht="15.75" customHeight="1" x14ac:dyDescent="0.2">
      <c r="A27" s="11" t="s">
        <v>53</v>
      </c>
      <c r="B27" s="11">
        <v>5020</v>
      </c>
      <c r="C27" s="11"/>
      <c r="D27" s="246"/>
      <c r="E27" s="238"/>
      <c r="F27" s="236"/>
      <c r="G27" s="11">
        <f>D5*6</f>
        <v>6</v>
      </c>
      <c r="H27" s="11"/>
      <c r="I27" s="32"/>
      <c r="J27" s="2"/>
      <c r="K27" s="2"/>
    </row>
    <row r="28" spans="1:11" ht="15.75" customHeight="1" x14ac:dyDescent="0.2">
      <c r="A28" s="11" t="s">
        <v>54</v>
      </c>
      <c r="B28" s="11" t="s">
        <v>55</v>
      </c>
      <c r="C28" s="11"/>
      <c r="D28" s="246"/>
      <c r="E28" s="238"/>
      <c r="F28" s="236"/>
      <c r="G28" s="11">
        <f>D5*2</f>
        <v>2</v>
      </c>
      <c r="H28" s="11"/>
      <c r="I28" s="32"/>
      <c r="J28" s="2"/>
      <c r="K28" s="2"/>
    </row>
    <row r="29" spans="1:11" ht="15.75" customHeight="1" x14ac:dyDescent="0.2">
      <c r="A29" s="239" t="s">
        <v>56</v>
      </c>
      <c r="B29" s="236"/>
      <c r="C29" s="239"/>
      <c r="D29" s="238"/>
      <c r="E29" s="238"/>
      <c r="F29" s="238"/>
      <c r="G29" s="238"/>
      <c r="H29" s="236"/>
      <c r="I29" s="32"/>
      <c r="J29" s="2"/>
      <c r="K29" s="2"/>
    </row>
    <row r="30" spans="1:11" ht="15.75" customHeight="1" x14ac:dyDescent="0.2">
      <c r="A30" s="239" t="s">
        <v>57</v>
      </c>
      <c r="B30" s="236"/>
      <c r="C30" s="239"/>
      <c r="D30" s="238"/>
      <c r="E30" s="238"/>
      <c r="F30" s="238"/>
      <c r="G30" s="238"/>
      <c r="H30" s="236"/>
      <c r="I30" s="32"/>
      <c r="J30" s="2"/>
      <c r="K30" s="2"/>
    </row>
    <row r="31" spans="1:11" ht="15" customHeight="1" x14ac:dyDescent="0.2">
      <c r="A31" s="271" t="s">
        <v>58</v>
      </c>
      <c r="B31" s="251"/>
      <c r="C31" s="251"/>
      <c r="D31" s="251"/>
      <c r="E31" s="272"/>
      <c r="F31" s="239"/>
      <c r="G31" s="238"/>
      <c r="H31" s="236"/>
      <c r="I31" s="32"/>
      <c r="J31" s="2"/>
      <c r="K31" s="2"/>
    </row>
    <row r="32" spans="1:11" ht="15.75" customHeight="1" x14ac:dyDescent="0.2">
      <c r="A32" s="243"/>
      <c r="B32" s="244"/>
      <c r="C32" s="244"/>
      <c r="D32" s="244"/>
      <c r="E32" s="245"/>
      <c r="F32" s="239" t="s">
        <v>59</v>
      </c>
      <c r="G32" s="238"/>
      <c r="H32" s="236"/>
      <c r="I32" s="32"/>
      <c r="J32" s="2"/>
      <c r="K32" s="2"/>
    </row>
    <row r="33" spans="1:11" ht="15.75" customHeight="1" x14ac:dyDescent="0.2">
      <c r="A33" s="53"/>
      <c r="B33" s="53"/>
      <c r="C33" s="53"/>
      <c r="D33" s="53"/>
      <c r="E33" s="53"/>
      <c r="F33" s="53"/>
      <c r="G33" s="53"/>
      <c r="H33" s="53"/>
      <c r="I33" s="32"/>
      <c r="J33" s="2"/>
      <c r="K33" s="2"/>
    </row>
    <row r="34" spans="1:11" ht="15.75" customHeight="1" x14ac:dyDescent="0.2">
      <c r="A34" s="2"/>
      <c r="B34" s="2"/>
      <c r="C34" s="54"/>
      <c r="D34" s="2"/>
      <c r="E34" s="2"/>
      <c r="F34" s="2"/>
      <c r="G34" s="2"/>
      <c r="H34" s="2"/>
      <c r="I34" s="32"/>
      <c r="J34" s="2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3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50"/>
      <c r="G36" s="2"/>
      <c r="H36" s="2"/>
      <c r="I36" s="3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51"/>
      <c r="G37" s="2"/>
      <c r="H37" s="2"/>
      <c r="I37" s="3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51"/>
      <c r="G38" s="2"/>
      <c r="H38" s="2"/>
      <c r="I38" s="32"/>
      <c r="J38" s="2"/>
      <c r="K38" s="2"/>
    </row>
    <row r="39" spans="1:11" ht="15.75" customHeight="1" x14ac:dyDescent="0.3">
      <c r="A39" s="54"/>
      <c r="B39" s="2"/>
      <c r="C39" s="2"/>
      <c r="D39" s="2"/>
      <c r="E39" s="2"/>
      <c r="F39" s="251"/>
      <c r="G39" s="252">
        <f>D3</f>
        <v>150</v>
      </c>
      <c r="H39" s="251"/>
      <c r="I39" s="32"/>
      <c r="J39" s="2"/>
      <c r="K39" s="2"/>
    </row>
    <row r="40" spans="1:11" ht="15.75" customHeight="1" x14ac:dyDescent="0.2">
      <c r="A40" s="2"/>
      <c r="B40" s="2"/>
      <c r="C40" s="2"/>
      <c r="D40" s="2"/>
      <c r="E40" s="2"/>
      <c r="F40" s="251"/>
      <c r="G40" s="2"/>
      <c r="H40" s="2"/>
      <c r="I40" s="32"/>
      <c r="J40" s="2"/>
      <c r="K40" s="2"/>
    </row>
    <row r="41" spans="1:11" ht="15.75" customHeight="1" x14ac:dyDescent="0.2">
      <c r="A41" s="2"/>
      <c r="B41" s="2"/>
      <c r="C41" s="2"/>
      <c r="D41" s="2"/>
      <c r="E41" s="2"/>
      <c r="F41" s="251"/>
      <c r="G41" s="2"/>
      <c r="H41" s="2"/>
      <c r="I41" s="32"/>
      <c r="J41" s="2"/>
      <c r="K41" s="2"/>
    </row>
    <row r="42" spans="1:11" ht="15.75" customHeight="1" x14ac:dyDescent="0.2">
      <c r="A42" s="2"/>
      <c r="B42" s="2"/>
      <c r="C42" s="2"/>
      <c r="D42" s="2"/>
      <c r="E42" s="2"/>
      <c r="F42" s="251"/>
      <c r="G42" s="2"/>
      <c r="H42" s="2"/>
      <c r="I42" s="32"/>
      <c r="J42" s="2"/>
      <c r="K42" s="2"/>
    </row>
    <row r="43" spans="1:11" ht="15.75" customHeight="1" x14ac:dyDescent="0.2">
      <c r="A43" s="2"/>
      <c r="B43" s="2"/>
      <c r="C43" s="2"/>
      <c r="D43" s="2"/>
      <c r="E43" s="2"/>
      <c r="F43" s="251"/>
      <c r="G43" s="2"/>
      <c r="H43" s="2"/>
      <c r="I43" s="32"/>
      <c r="J43" s="2"/>
      <c r="K43" s="2"/>
    </row>
    <row r="44" spans="1:11" ht="15.75" customHeight="1" x14ac:dyDescent="0.2">
      <c r="A44" s="2"/>
      <c r="B44" s="2"/>
      <c r="C44" s="2"/>
      <c r="D44" s="2"/>
      <c r="E44" s="2"/>
      <c r="F44" s="251"/>
      <c r="G44" s="2"/>
      <c r="H44" s="2"/>
      <c r="I44" s="32"/>
      <c r="J44" s="2"/>
      <c r="K44" s="2"/>
    </row>
    <row r="45" spans="1:11" ht="15.75" customHeight="1" x14ac:dyDescent="0.2">
      <c r="A45" s="2"/>
      <c r="B45" s="2"/>
      <c r="C45" s="2"/>
      <c r="D45" s="2"/>
      <c r="E45" s="2"/>
      <c r="F45" s="251"/>
      <c r="G45" s="2"/>
      <c r="H45" s="2"/>
      <c r="I45" s="32"/>
      <c r="J45" s="2"/>
      <c r="K45" s="2"/>
    </row>
    <row r="46" spans="1:11" ht="15.75" customHeight="1" x14ac:dyDescent="0.3">
      <c r="A46" s="2"/>
      <c r="B46" s="252">
        <f>D4</f>
        <v>300</v>
      </c>
      <c r="C46" s="251"/>
      <c r="D46" s="251"/>
      <c r="E46" s="251"/>
      <c r="F46" s="251"/>
      <c r="G46" s="2"/>
      <c r="H46" s="2"/>
      <c r="I46" s="3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32"/>
      <c r="J47" s="2"/>
      <c r="K47" s="2"/>
    </row>
    <row r="48" spans="1:11" ht="15.75" customHeight="1" x14ac:dyDescent="0.2">
      <c r="A48" s="2"/>
      <c r="B48" s="2"/>
      <c r="D48" s="2"/>
      <c r="E48" s="2"/>
      <c r="F48" s="2"/>
      <c r="G48" s="2"/>
      <c r="H48" s="2"/>
      <c r="I48" s="32"/>
      <c r="J48" s="2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32"/>
      <c r="J49" s="2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32"/>
      <c r="J50" s="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32"/>
      <c r="J51" s="2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32"/>
      <c r="J52" s="2"/>
      <c r="K52" s="2"/>
    </row>
    <row r="53" spans="1:11" ht="15.75" customHeight="1" x14ac:dyDescent="0.2"/>
    <row r="54" spans="1:11" ht="15.75" customHeight="1" x14ac:dyDescent="0.2"/>
    <row r="55" spans="1:11" ht="15.75" customHeight="1" x14ac:dyDescent="0.2"/>
    <row r="56" spans="1:11" ht="15.75" customHeight="1" x14ac:dyDescent="0.2"/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0">
    <mergeCell ref="D11:F11"/>
    <mergeCell ref="D15:F15"/>
    <mergeCell ref="E17:F17"/>
    <mergeCell ref="E18:F18"/>
    <mergeCell ref="E19:F19"/>
    <mergeCell ref="C15:C16"/>
    <mergeCell ref="A17:A19"/>
    <mergeCell ref="A13:A16"/>
    <mergeCell ref="D16:F16"/>
    <mergeCell ref="D14:F14"/>
    <mergeCell ref="D13:F13"/>
    <mergeCell ref="C8:C9"/>
    <mergeCell ref="D10:F10"/>
    <mergeCell ref="I9:K9"/>
    <mergeCell ref="H8:H9"/>
    <mergeCell ref="D8:F9"/>
    <mergeCell ref="G8:G9"/>
    <mergeCell ref="C29:H29"/>
    <mergeCell ref="A29:B29"/>
    <mergeCell ref="A31:E32"/>
    <mergeCell ref="C30:H30"/>
    <mergeCell ref="F32:H32"/>
    <mergeCell ref="F31:H31"/>
    <mergeCell ref="A30:B30"/>
    <mergeCell ref="A3:C3"/>
    <mergeCell ref="E3:H3"/>
    <mergeCell ref="A2:H2"/>
    <mergeCell ref="A1:H1"/>
    <mergeCell ref="A5:C5"/>
    <mergeCell ref="E4:H4"/>
    <mergeCell ref="E5:H5"/>
    <mergeCell ref="F36:F46"/>
    <mergeCell ref="G39:H39"/>
    <mergeCell ref="B46:E46"/>
    <mergeCell ref="D20:F20"/>
    <mergeCell ref="D27:F27"/>
    <mergeCell ref="D12:F12"/>
    <mergeCell ref="A6:B6"/>
    <mergeCell ref="A7:B7"/>
    <mergeCell ref="A8:B9"/>
    <mergeCell ref="A10:A12"/>
    <mergeCell ref="C6:H6"/>
    <mergeCell ref="C7:H7"/>
    <mergeCell ref="A4:C4"/>
    <mergeCell ref="D28:F28"/>
    <mergeCell ref="D21:F21"/>
    <mergeCell ref="D26:F26"/>
    <mergeCell ref="D24:F24"/>
    <mergeCell ref="D25:F25"/>
    <mergeCell ref="D23:F2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390625" defaultRowHeight="15" customHeight="1" x14ac:dyDescent="0.2"/>
  <cols>
    <col min="1" max="1" width="18.16015625" customWidth="1"/>
    <col min="2" max="2" width="18.4296875" customWidth="1"/>
    <col min="3" max="3" width="9.68359375" customWidth="1"/>
    <col min="4" max="4" width="9.4140625" customWidth="1"/>
    <col min="5" max="5" width="6.72265625" customWidth="1"/>
    <col min="6" max="6" width="3.765625" customWidth="1"/>
    <col min="7" max="7" width="10.89453125" customWidth="1"/>
    <col min="8" max="8" width="7.93359375" customWidth="1"/>
    <col min="9" max="9" width="16.140625" customWidth="1"/>
    <col min="10" max="10" width="18.4296875" customWidth="1"/>
    <col min="11" max="11" width="15.33203125" customWidth="1"/>
  </cols>
  <sheetData>
    <row r="1" spans="1:11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  <c r="I1" s="3" t="s">
        <v>1</v>
      </c>
      <c r="J1" s="2"/>
      <c r="K1" s="2"/>
    </row>
    <row r="2" spans="1:11" ht="20.25" x14ac:dyDescent="0.25">
      <c r="A2" s="261" t="s">
        <v>71</v>
      </c>
      <c r="B2" s="238"/>
      <c r="C2" s="238"/>
      <c r="D2" s="238"/>
      <c r="E2" s="238"/>
      <c r="F2" s="238"/>
      <c r="G2" s="238"/>
      <c r="H2" s="236"/>
      <c r="I2" s="55"/>
      <c r="J2" s="2"/>
      <c r="K2" s="2"/>
    </row>
    <row r="3" spans="1:11" ht="21" x14ac:dyDescent="0.3">
      <c r="A3" s="263" t="s">
        <v>3</v>
      </c>
      <c r="B3" s="238"/>
      <c r="C3" s="236"/>
      <c r="D3" s="35">
        <v>150</v>
      </c>
      <c r="E3" s="263" t="s">
        <v>4</v>
      </c>
      <c r="F3" s="238"/>
      <c r="G3" s="238"/>
      <c r="H3" s="236"/>
      <c r="I3" s="1" t="s">
        <v>5</v>
      </c>
      <c r="J3" s="2"/>
      <c r="K3" s="2"/>
    </row>
    <row r="4" spans="1:11" ht="21" x14ac:dyDescent="0.3">
      <c r="A4" s="278" t="s">
        <v>6</v>
      </c>
      <c r="B4" s="238"/>
      <c r="C4" s="236"/>
      <c r="D4" s="35">
        <v>300</v>
      </c>
      <c r="E4" s="263" t="s">
        <v>4</v>
      </c>
      <c r="F4" s="238"/>
      <c r="G4" s="238"/>
      <c r="H4" s="236"/>
      <c r="I4" s="56"/>
      <c r="J4" s="2"/>
      <c r="K4" s="2"/>
    </row>
    <row r="5" spans="1:11" ht="21" customHeight="1" x14ac:dyDescent="0.3">
      <c r="A5" s="278" t="s">
        <v>7</v>
      </c>
      <c r="B5" s="238"/>
      <c r="C5" s="236"/>
      <c r="D5" s="36">
        <v>1</v>
      </c>
      <c r="E5" s="263"/>
      <c r="F5" s="238"/>
      <c r="G5" s="238"/>
      <c r="H5" s="236"/>
      <c r="I5" s="57"/>
      <c r="J5" s="2"/>
      <c r="K5" s="2"/>
    </row>
    <row r="6" spans="1:11" ht="20.25" x14ac:dyDescent="0.25">
      <c r="A6" s="263" t="s">
        <v>72</v>
      </c>
      <c r="B6" s="236"/>
      <c r="C6" s="263"/>
      <c r="D6" s="238"/>
      <c r="E6" s="238"/>
      <c r="F6" s="238"/>
      <c r="G6" s="238"/>
      <c r="H6" s="236"/>
      <c r="J6" s="2"/>
      <c r="K6" s="2"/>
    </row>
    <row r="7" spans="1:11" ht="21" x14ac:dyDescent="0.3">
      <c r="A7" s="263" t="s">
        <v>9</v>
      </c>
      <c r="B7" s="236"/>
      <c r="C7" s="263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4" x14ac:dyDescent="0.3">
      <c r="A8" s="278" t="s">
        <v>61</v>
      </c>
      <c r="B8" s="236"/>
      <c r="C8" s="58" t="s">
        <v>11</v>
      </c>
      <c r="D8" s="285" t="s">
        <v>12</v>
      </c>
      <c r="E8" s="238"/>
      <c r="F8" s="236"/>
      <c r="G8" s="59" t="s">
        <v>13</v>
      </c>
      <c r="H8" s="60" t="s">
        <v>14</v>
      </c>
      <c r="I8" s="10" t="s">
        <v>16</v>
      </c>
      <c r="J8" s="10" t="s">
        <v>17</v>
      </c>
      <c r="K8" s="10" t="s">
        <v>18</v>
      </c>
    </row>
    <row r="9" spans="1:11" x14ac:dyDescent="0.2">
      <c r="A9" s="286" t="s">
        <v>19</v>
      </c>
      <c r="B9" s="11" t="s">
        <v>20</v>
      </c>
      <c r="C9" s="11" t="s">
        <v>21</v>
      </c>
      <c r="D9" s="249">
        <f>D4</f>
        <v>300</v>
      </c>
      <c r="E9" s="238"/>
      <c r="F9" s="236"/>
      <c r="G9" s="11">
        <f>D5*1</f>
        <v>1</v>
      </c>
      <c r="H9" s="11">
        <v>90</v>
      </c>
      <c r="I9" s="11" t="s">
        <v>21</v>
      </c>
      <c r="J9" s="11" t="s">
        <v>22</v>
      </c>
      <c r="K9" s="12">
        <f>D9*D5</f>
        <v>300</v>
      </c>
    </row>
    <row r="10" spans="1:11" x14ac:dyDescent="0.2">
      <c r="A10" s="254"/>
      <c r="B10" s="11" t="s">
        <v>23</v>
      </c>
      <c r="C10" s="11" t="s">
        <v>24</v>
      </c>
      <c r="D10" s="249">
        <f>D4</f>
        <v>300</v>
      </c>
      <c r="E10" s="238"/>
      <c r="F10" s="236"/>
      <c r="G10" s="11">
        <f>D5*1</f>
        <v>1</v>
      </c>
      <c r="H10" s="11">
        <v>90</v>
      </c>
      <c r="I10" s="11" t="s">
        <v>24</v>
      </c>
      <c r="J10" s="11" t="s">
        <v>25</v>
      </c>
      <c r="K10" s="12">
        <f>D10*D5</f>
        <v>300</v>
      </c>
    </row>
    <row r="11" spans="1:11" x14ac:dyDescent="0.2">
      <c r="A11" s="255"/>
      <c r="B11" s="11" t="s">
        <v>26</v>
      </c>
      <c r="C11" s="11" t="s">
        <v>73</v>
      </c>
      <c r="D11" s="249">
        <f>D3-1.5</f>
        <v>148.5</v>
      </c>
      <c r="E11" s="238"/>
      <c r="F11" s="236"/>
      <c r="G11" s="11">
        <f>D5*2</f>
        <v>2</v>
      </c>
      <c r="H11" s="11">
        <v>90</v>
      </c>
      <c r="I11" s="11" t="s">
        <v>27</v>
      </c>
      <c r="J11" s="11" t="s">
        <v>28</v>
      </c>
      <c r="K11" s="12">
        <f>(D11*2)*D5</f>
        <v>297</v>
      </c>
    </row>
    <row r="12" spans="1:11" x14ac:dyDescent="0.2">
      <c r="A12" s="287" t="s">
        <v>29</v>
      </c>
      <c r="B12" s="11" t="s">
        <v>30</v>
      </c>
      <c r="C12" s="11" t="s">
        <v>31</v>
      </c>
      <c r="D12" s="249">
        <f>D3-3</f>
        <v>147</v>
      </c>
      <c r="E12" s="238"/>
      <c r="F12" s="236"/>
      <c r="G12" s="11">
        <f>D5*4</f>
        <v>4</v>
      </c>
      <c r="H12" s="11">
        <v>90</v>
      </c>
      <c r="I12" s="11" t="s">
        <v>31</v>
      </c>
      <c r="J12" s="11" t="s">
        <v>32</v>
      </c>
      <c r="K12" s="12">
        <f>(D12*4)*D5</f>
        <v>588</v>
      </c>
    </row>
    <row r="13" spans="1:11" x14ac:dyDescent="0.2">
      <c r="A13" s="254"/>
      <c r="B13" s="11" t="s">
        <v>33</v>
      </c>
      <c r="C13" s="11" t="s">
        <v>34</v>
      </c>
      <c r="D13" s="249">
        <f>D3-3</f>
        <v>147</v>
      </c>
      <c r="E13" s="238"/>
      <c r="F13" s="236"/>
      <c r="G13" s="11">
        <f>D5*4</f>
        <v>4</v>
      </c>
      <c r="H13" s="11">
        <v>90</v>
      </c>
      <c r="I13" s="11" t="s">
        <v>34</v>
      </c>
      <c r="J13" s="11" t="s">
        <v>35</v>
      </c>
      <c r="K13" s="12">
        <f>(D13*4)*D5</f>
        <v>588</v>
      </c>
    </row>
    <row r="14" spans="1:11" x14ac:dyDescent="0.2">
      <c r="A14" s="255"/>
      <c r="B14" s="11" t="s">
        <v>36</v>
      </c>
      <c r="C14" s="13" t="s">
        <v>37</v>
      </c>
      <c r="D14" s="249">
        <f>(D4-2.2)/4</f>
        <v>74.45</v>
      </c>
      <c r="E14" s="238"/>
      <c r="F14" s="236"/>
      <c r="G14" s="11">
        <f>D5*8</f>
        <v>8</v>
      </c>
      <c r="H14" s="11">
        <v>90</v>
      </c>
      <c r="I14" s="13" t="s">
        <v>37</v>
      </c>
      <c r="J14" s="11" t="s">
        <v>38</v>
      </c>
      <c r="K14" s="12">
        <f>(D14*8)*D5</f>
        <v>595.6</v>
      </c>
    </row>
    <row r="15" spans="1:11" ht="15" customHeight="1" x14ac:dyDescent="0.2">
      <c r="A15" s="260" t="s">
        <v>74</v>
      </c>
      <c r="B15" s="281" t="s">
        <v>75</v>
      </c>
      <c r="C15" s="280"/>
      <c r="D15" s="279" t="s">
        <v>3</v>
      </c>
      <c r="E15" s="283" t="s">
        <v>41</v>
      </c>
      <c r="F15" s="242"/>
      <c r="G15" s="288"/>
      <c r="H15" s="288"/>
      <c r="I15" s="32"/>
      <c r="J15" s="2"/>
      <c r="K15" s="2"/>
    </row>
    <row r="16" spans="1:11" x14ac:dyDescent="0.2">
      <c r="A16" s="254"/>
      <c r="B16" s="254"/>
      <c r="C16" s="254"/>
      <c r="D16" s="255"/>
      <c r="E16" s="243"/>
      <c r="F16" s="245"/>
      <c r="G16" s="255"/>
      <c r="H16" s="255"/>
      <c r="I16" s="32"/>
      <c r="J16" s="2"/>
      <c r="K16" s="2"/>
    </row>
    <row r="17" spans="1:11" x14ac:dyDescent="0.2">
      <c r="A17" s="255"/>
      <c r="B17" s="255"/>
      <c r="C17" s="255"/>
      <c r="D17" s="17">
        <f>D3-9.6</f>
        <v>140.4</v>
      </c>
      <c r="E17" s="235">
        <f>D14-2.1</f>
        <v>72.350000000000009</v>
      </c>
      <c r="F17" s="236"/>
      <c r="G17" s="62">
        <f>D5*4</f>
        <v>4</v>
      </c>
      <c r="H17" s="63"/>
      <c r="I17" s="32"/>
      <c r="J17" s="2"/>
      <c r="K17" s="2"/>
    </row>
    <row r="18" spans="1:11" x14ac:dyDescent="0.2">
      <c r="A18" s="64" t="s">
        <v>42</v>
      </c>
      <c r="B18" s="11">
        <v>5020</v>
      </c>
      <c r="C18" s="51"/>
      <c r="D18" s="249"/>
      <c r="E18" s="238"/>
      <c r="F18" s="236"/>
      <c r="G18" s="51">
        <f>(D17*8)+(E17*8)*D5</f>
        <v>1702</v>
      </c>
      <c r="H18" s="11" t="s">
        <v>43</v>
      </c>
      <c r="I18" s="32"/>
      <c r="J18" s="2"/>
      <c r="K18" s="2"/>
    </row>
    <row r="19" spans="1:11" x14ac:dyDescent="0.2">
      <c r="A19" s="282" t="s">
        <v>44</v>
      </c>
      <c r="B19" s="11"/>
      <c r="C19" s="11" t="s">
        <v>76</v>
      </c>
      <c r="D19" s="246"/>
      <c r="E19" s="238"/>
      <c r="F19" s="236"/>
      <c r="G19" s="11">
        <f>D5*16</f>
        <v>16</v>
      </c>
      <c r="H19" s="11"/>
      <c r="I19" s="32"/>
      <c r="J19" s="2"/>
      <c r="K19" s="2"/>
    </row>
    <row r="20" spans="1:11" x14ac:dyDescent="0.2">
      <c r="A20" s="255"/>
      <c r="B20" s="11"/>
      <c r="C20" s="11" t="s">
        <v>77</v>
      </c>
      <c r="D20" s="237"/>
      <c r="E20" s="238"/>
      <c r="F20" s="236"/>
      <c r="G20" s="22">
        <f>D5*10</f>
        <v>10</v>
      </c>
      <c r="H20" s="11"/>
      <c r="I20" s="32"/>
      <c r="J20" s="2"/>
      <c r="K20" s="2"/>
    </row>
    <row r="21" spans="1:11" ht="15.75" customHeight="1" x14ac:dyDescent="0.2">
      <c r="A21" s="65"/>
      <c r="B21" s="11"/>
      <c r="C21" s="11" t="s">
        <v>78</v>
      </c>
      <c r="D21" s="23"/>
      <c r="E21" s="23"/>
      <c r="F21" s="22"/>
      <c r="G21" s="26">
        <f>D5*4</f>
        <v>4</v>
      </c>
      <c r="H21" s="11"/>
      <c r="I21" s="32"/>
      <c r="J21" s="2"/>
      <c r="K21" s="2"/>
    </row>
    <row r="22" spans="1:11" ht="15.75" customHeight="1" x14ac:dyDescent="0.2">
      <c r="A22" s="65" t="s">
        <v>48</v>
      </c>
      <c r="B22" s="11"/>
      <c r="C22" s="66" t="s">
        <v>49</v>
      </c>
      <c r="D22" s="25"/>
      <c r="E22" s="21"/>
      <c r="F22" s="26"/>
      <c r="G22" s="22">
        <f>D5*4</f>
        <v>4</v>
      </c>
      <c r="H22" s="11"/>
      <c r="I22" s="32"/>
      <c r="J22" s="2"/>
      <c r="K22" s="2"/>
    </row>
    <row r="23" spans="1:11" ht="15.75" customHeight="1" x14ac:dyDescent="0.2">
      <c r="A23" s="64" t="s">
        <v>70</v>
      </c>
      <c r="B23" s="24" t="s">
        <v>79</v>
      </c>
      <c r="C23" s="24"/>
      <c r="D23" s="269"/>
      <c r="E23" s="244"/>
      <c r="F23" s="245"/>
      <c r="G23" s="66">
        <f>D5*10</f>
        <v>10</v>
      </c>
      <c r="H23" s="11"/>
      <c r="I23" s="32"/>
      <c r="J23" s="2"/>
      <c r="K23" s="2"/>
    </row>
    <row r="24" spans="1:11" ht="15.75" customHeight="1" x14ac:dyDescent="0.2">
      <c r="A24" s="67" t="s">
        <v>80</v>
      </c>
      <c r="B24" s="11" t="s">
        <v>51</v>
      </c>
      <c r="C24" s="11">
        <v>5020</v>
      </c>
      <c r="D24" s="246"/>
      <c r="E24" s="238"/>
      <c r="F24" s="236"/>
      <c r="G24" s="11">
        <f>D5*4</f>
        <v>4</v>
      </c>
      <c r="H24" s="11"/>
      <c r="I24" s="32"/>
      <c r="J24" s="2"/>
      <c r="K24" s="2"/>
    </row>
    <row r="25" spans="1:11" ht="15.75" customHeight="1" x14ac:dyDescent="0.2">
      <c r="A25" s="64" t="s">
        <v>53</v>
      </c>
      <c r="B25" s="11" t="s">
        <v>81</v>
      </c>
      <c r="C25" s="11">
        <v>5020</v>
      </c>
      <c r="D25" s="246"/>
      <c r="E25" s="238"/>
      <c r="F25" s="236"/>
      <c r="G25" s="11">
        <f>D5*6</f>
        <v>6</v>
      </c>
      <c r="H25" s="11"/>
      <c r="I25" s="32"/>
      <c r="J25" s="2"/>
      <c r="K25" s="2"/>
    </row>
    <row r="26" spans="1:11" ht="15.75" customHeight="1" x14ac:dyDescent="0.2">
      <c r="A26" s="64" t="s">
        <v>82</v>
      </c>
      <c r="B26" s="11" t="s">
        <v>55</v>
      </c>
      <c r="C26" s="11"/>
      <c r="D26" s="246"/>
      <c r="E26" s="238"/>
      <c r="F26" s="236"/>
      <c r="G26" s="11">
        <f>D5*2</f>
        <v>2</v>
      </c>
      <c r="H26" s="11"/>
      <c r="I26" s="32"/>
      <c r="J26" s="2"/>
      <c r="K26" s="2"/>
    </row>
    <row r="27" spans="1:11" ht="15.75" customHeight="1" x14ac:dyDescent="0.2">
      <c r="A27" s="239" t="s">
        <v>56</v>
      </c>
      <c r="B27" s="236"/>
      <c r="C27" s="239"/>
      <c r="D27" s="238"/>
      <c r="E27" s="238"/>
      <c r="F27" s="238"/>
      <c r="G27" s="238"/>
      <c r="H27" s="236"/>
      <c r="I27" s="32"/>
      <c r="J27" s="2"/>
      <c r="K27" s="2"/>
    </row>
    <row r="28" spans="1:11" ht="15.75" customHeight="1" x14ac:dyDescent="0.2">
      <c r="A28" s="239" t="s">
        <v>57</v>
      </c>
      <c r="B28" s="236"/>
      <c r="C28" s="239"/>
      <c r="D28" s="238"/>
      <c r="E28" s="238"/>
      <c r="F28" s="238"/>
      <c r="G28" s="238"/>
      <c r="H28" s="236"/>
      <c r="I28" s="32"/>
      <c r="J28" s="2"/>
      <c r="K28" s="2"/>
    </row>
    <row r="29" spans="1:11" ht="15.75" customHeight="1" x14ac:dyDescent="0.2">
      <c r="A29" s="240" t="s">
        <v>58</v>
      </c>
      <c r="B29" s="241"/>
      <c r="C29" s="241"/>
      <c r="D29" s="241"/>
      <c r="E29" s="242"/>
      <c r="F29" s="239"/>
      <c r="G29" s="238"/>
      <c r="H29" s="236"/>
      <c r="I29" s="32"/>
      <c r="J29" s="2"/>
      <c r="K29" s="2"/>
    </row>
    <row r="30" spans="1:11" ht="15.75" customHeight="1" x14ac:dyDescent="0.2">
      <c r="A30" s="243"/>
      <c r="B30" s="244"/>
      <c r="C30" s="244"/>
      <c r="D30" s="244"/>
      <c r="E30" s="245"/>
      <c r="F30" s="239" t="s">
        <v>59</v>
      </c>
      <c r="G30" s="238"/>
      <c r="H30" s="236"/>
      <c r="I30" s="32"/>
      <c r="J30" s="2"/>
      <c r="K30" s="2"/>
    </row>
    <row r="31" spans="1:11" ht="15.75" customHeight="1" x14ac:dyDescent="0.25">
      <c r="A31" s="68"/>
      <c r="B31" s="284"/>
      <c r="C31" s="251"/>
      <c r="D31" s="251"/>
      <c r="E31" s="30"/>
      <c r="F31" s="30"/>
      <c r="G31" s="30"/>
      <c r="H31" s="30"/>
      <c r="I31" s="32"/>
      <c r="J31" s="2"/>
      <c r="K31" s="2"/>
    </row>
    <row r="32" spans="1:11" ht="15.75" customHeight="1" x14ac:dyDescent="0.25">
      <c r="A32" s="68"/>
      <c r="B32" s="30"/>
      <c r="C32" s="30"/>
      <c r="D32" s="30"/>
      <c r="E32" s="30"/>
      <c r="F32" s="30"/>
      <c r="G32" s="30"/>
      <c r="H32" s="30"/>
      <c r="I32" s="32"/>
      <c r="J32" s="2"/>
      <c r="K32" s="2"/>
    </row>
    <row r="33" spans="1:11" ht="15.75" customHeight="1" x14ac:dyDescent="0.25">
      <c r="A33" s="68"/>
      <c r="B33" s="30"/>
      <c r="C33" s="30"/>
      <c r="D33" s="30"/>
      <c r="E33" s="30"/>
      <c r="F33" s="30"/>
      <c r="G33" s="30"/>
      <c r="H33" s="30"/>
      <c r="I33" s="32"/>
      <c r="J33" s="2"/>
      <c r="K33" s="2"/>
    </row>
    <row r="34" spans="1:11" ht="15.75" customHeight="1" x14ac:dyDescent="0.3">
      <c r="A34" s="68"/>
      <c r="B34" s="30"/>
      <c r="C34" s="30"/>
      <c r="D34" s="30"/>
      <c r="E34" s="30"/>
      <c r="F34" s="30"/>
      <c r="G34" s="252">
        <f>D3</f>
        <v>150</v>
      </c>
      <c r="H34" s="251"/>
      <c r="I34" s="32"/>
      <c r="J34" s="2"/>
      <c r="K34" s="2"/>
    </row>
    <row r="35" spans="1:11" ht="15.75" customHeight="1" x14ac:dyDescent="0.25">
      <c r="A35" s="68"/>
      <c r="B35" s="30"/>
      <c r="C35" s="30"/>
      <c r="D35" s="30"/>
      <c r="E35" s="31"/>
      <c r="F35" s="30"/>
      <c r="G35" s="30"/>
      <c r="H35" s="30"/>
      <c r="I35" s="32"/>
      <c r="J35" s="2"/>
      <c r="K35" s="2"/>
    </row>
    <row r="36" spans="1:11" ht="15.75" customHeight="1" x14ac:dyDescent="0.25">
      <c r="A36" s="68"/>
      <c r="B36" s="30"/>
      <c r="C36" s="30"/>
      <c r="D36" s="30"/>
      <c r="E36" s="30"/>
      <c r="F36" s="30"/>
      <c r="G36" s="30"/>
      <c r="H36" s="30"/>
      <c r="I36" s="32"/>
      <c r="J36" s="2"/>
      <c r="K36" s="2"/>
    </row>
    <row r="37" spans="1:11" ht="15.75" customHeight="1" x14ac:dyDescent="0.25">
      <c r="A37" s="68"/>
      <c r="B37" s="30"/>
      <c r="C37" s="30"/>
      <c r="D37" s="30"/>
      <c r="E37" s="30"/>
      <c r="F37" s="30"/>
      <c r="G37" s="30"/>
      <c r="H37" s="30"/>
      <c r="I37" s="32"/>
      <c r="J37" s="2"/>
      <c r="K37" s="2"/>
    </row>
    <row r="38" spans="1:11" ht="15.75" customHeight="1" x14ac:dyDescent="0.25">
      <c r="A38" s="68"/>
      <c r="B38" s="30"/>
      <c r="C38" s="30"/>
      <c r="D38" s="30"/>
      <c r="E38" s="30"/>
      <c r="F38" s="30"/>
      <c r="G38" s="30"/>
      <c r="H38" s="30"/>
      <c r="I38" s="32"/>
      <c r="J38" s="2"/>
      <c r="K38" s="2"/>
    </row>
    <row r="39" spans="1:11" ht="15.75" customHeight="1" x14ac:dyDescent="0.3">
      <c r="A39" s="68"/>
      <c r="B39" s="252">
        <f>D4</f>
        <v>300</v>
      </c>
      <c r="C39" s="251"/>
      <c r="D39" s="251"/>
      <c r="E39" s="251"/>
      <c r="F39" s="251"/>
      <c r="G39" s="54"/>
      <c r="H39" s="30"/>
      <c r="I39" s="32"/>
      <c r="J39" s="2"/>
      <c r="K39" s="2"/>
    </row>
    <row r="40" spans="1:11" ht="15.75" customHeight="1" x14ac:dyDescent="0.25">
      <c r="A40" s="68"/>
      <c r="B40" s="284"/>
      <c r="C40" s="251"/>
      <c r="D40" s="251"/>
      <c r="E40" s="30"/>
      <c r="F40" s="30"/>
      <c r="G40" s="30"/>
      <c r="H40" s="30"/>
      <c r="I40" s="32"/>
      <c r="J40" s="2"/>
      <c r="K40" s="2"/>
    </row>
    <row r="41" spans="1:11" ht="15.75" customHeight="1" x14ac:dyDescent="0.25">
      <c r="A41" s="68"/>
      <c r="B41" s="30"/>
      <c r="C41" s="30"/>
      <c r="D41" s="30"/>
      <c r="E41" s="30"/>
      <c r="F41" s="30"/>
      <c r="G41" s="30"/>
      <c r="H41" s="30"/>
      <c r="I41" s="32"/>
      <c r="J41" s="2"/>
      <c r="K41" s="2"/>
    </row>
    <row r="42" spans="1:11" ht="15.75" customHeight="1" x14ac:dyDescent="0.25">
      <c r="A42" s="68"/>
      <c r="B42" s="30"/>
      <c r="C42" s="30"/>
      <c r="D42" s="30"/>
      <c r="E42" s="30"/>
      <c r="F42" s="30"/>
      <c r="G42" s="30"/>
      <c r="H42" s="30"/>
      <c r="I42" s="32"/>
      <c r="J42" s="2"/>
      <c r="K42" s="2"/>
    </row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0">
    <mergeCell ref="D9:F9"/>
    <mergeCell ref="A8:B8"/>
    <mergeCell ref="D8:F8"/>
    <mergeCell ref="A9:A11"/>
    <mergeCell ref="A12:A14"/>
    <mergeCell ref="B40:D40"/>
    <mergeCell ref="B39:F39"/>
    <mergeCell ref="D26:F26"/>
    <mergeCell ref="D12:F12"/>
    <mergeCell ref="D11:F11"/>
    <mergeCell ref="D14:F14"/>
    <mergeCell ref="D13:F13"/>
    <mergeCell ref="A28:B28"/>
    <mergeCell ref="A27:B27"/>
    <mergeCell ref="B31:D31"/>
    <mergeCell ref="A29:E30"/>
    <mergeCell ref="D25:F25"/>
    <mergeCell ref="D23:F23"/>
    <mergeCell ref="D24:F24"/>
    <mergeCell ref="G34:H34"/>
    <mergeCell ref="E15:F16"/>
    <mergeCell ref="E17:F17"/>
    <mergeCell ref="F29:H29"/>
    <mergeCell ref="C27:H27"/>
    <mergeCell ref="C28:H28"/>
    <mergeCell ref="H15:H16"/>
    <mergeCell ref="G15:G16"/>
    <mergeCell ref="D10:F10"/>
    <mergeCell ref="D18:F18"/>
    <mergeCell ref="A15:A17"/>
    <mergeCell ref="A19:A20"/>
    <mergeCell ref="F30:H30"/>
    <mergeCell ref="D19:F19"/>
    <mergeCell ref="D20:F20"/>
    <mergeCell ref="D15:D16"/>
    <mergeCell ref="C15:C17"/>
    <mergeCell ref="B15:B17"/>
    <mergeCell ref="I7:K7"/>
    <mergeCell ref="C7:H7"/>
    <mergeCell ref="C6:H6"/>
    <mergeCell ref="A7:B7"/>
    <mergeCell ref="A6:B6"/>
    <mergeCell ref="E4:H4"/>
    <mergeCell ref="E5:H5"/>
    <mergeCell ref="E3:H3"/>
    <mergeCell ref="A1:H1"/>
    <mergeCell ref="A2:H2"/>
    <mergeCell ref="A3:C3"/>
    <mergeCell ref="A4:C4"/>
    <mergeCell ref="A5:C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390625" defaultRowHeight="15" customHeight="1" x14ac:dyDescent="0.2"/>
  <cols>
    <col min="1" max="1" width="14.66015625" customWidth="1"/>
    <col min="2" max="2" width="17.3515625" customWidth="1"/>
    <col min="3" max="3" width="8.609375" customWidth="1"/>
    <col min="4" max="4" width="13.98828125" customWidth="1"/>
    <col min="5" max="5" width="8.609375" customWidth="1"/>
    <col min="6" max="6" width="4.4375" customWidth="1"/>
    <col min="7" max="8" width="8.609375" customWidth="1"/>
    <col min="9" max="9" width="16.0078125" customWidth="1"/>
    <col min="10" max="10" width="21.5234375" customWidth="1"/>
    <col min="11" max="11" width="14.125" customWidth="1"/>
  </cols>
  <sheetData>
    <row r="1" spans="1:11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  <c r="I1" s="6" t="s">
        <v>1</v>
      </c>
      <c r="J1" s="69"/>
      <c r="K1" s="69"/>
    </row>
    <row r="2" spans="1:11" ht="20.25" x14ac:dyDescent="0.25">
      <c r="A2" s="293" t="s">
        <v>83</v>
      </c>
      <c r="B2" s="238"/>
      <c r="C2" s="238"/>
      <c r="D2" s="238"/>
      <c r="E2" s="238"/>
      <c r="F2" s="238"/>
      <c r="G2" s="238"/>
      <c r="H2" s="236"/>
      <c r="I2" s="3"/>
      <c r="J2" s="69"/>
    </row>
    <row r="3" spans="1:11" ht="20.25" x14ac:dyDescent="0.25">
      <c r="A3" s="239" t="s">
        <v>3</v>
      </c>
      <c r="B3" s="238"/>
      <c r="C3" s="236"/>
      <c r="D3" s="295">
        <v>136.5</v>
      </c>
      <c r="E3" s="236"/>
      <c r="F3" s="263" t="s">
        <v>4</v>
      </c>
      <c r="G3" s="238"/>
      <c r="H3" s="236"/>
      <c r="I3" s="70" t="s">
        <v>5</v>
      </c>
      <c r="J3" s="69"/>
      <c r="K3" s="69"/>
    </row>
    <row r="4" spans="1:11" ht="20.25" customHeight="1" x14ac:dyDescent="0.25">
      <c r="A4" s="278" t="s">
        <v>6</v>
      </c>
      <c r="B4" s="238"/>
      <c r="C4" s="236"/>
      <c r="D4" s="295">
        <v>100</v>
      </c>
      <c r="E4" s="236"/>
      <c r="F4" s="263" t="s">
        <v>4</v>
      </c>
      <c r="G4" s="238"/>
      <c r="H4" s="236"/>
      <c r="I4" s="70"/>
      <c r="J4" s="69"/>
      <c r="K4" s="69"/>
    </row>
    <row r="5" spans="1:11" ht="20.25" customHeight="1" x14ac:dyDescent="0.25">
      <c r="A5" s="278" t="s">
        <v>7</v>
      </c>
      <c r="B5" s="238"/>
      <c r="C5" s="236"/>
      <c r="D5" s="294">
        <v>8</v>
      </c>
      <c r="E5" s="236"/>
      <c r="F5" s="263"/>
      <c r="G5" s="238"/>
      <c r="H5" s="236"/>
      <c r="J5" s="69"/>
      <c r="K5" s="69"/>
    </row>
    <row r="6" spans="1:11" ht="20.25" x14ac:dyDescent="0.25">
      <c r="A6" s="263" t="s">
        <v>72</v>
      </c>
      <c r="B6" s="236"/>
      <c r="C6" s="263"/>
      <c r="D6" s="238"/>
      <c r="E6" s="238"/>
      <c r="F6" s="238"/>
      <c r="G6" s="238"/>
      <c r="H6" s="236"/>
      <c r="J6" s="69"/>
      <c r="K6" s="69"/>
    </row>
    <row r="7" spans="1:11" ht="21" x14ac:dyDescent="0.3">
      <c r="A7" s="263" t="s">
        <v>9</v>
      </c>
      <c r="B7" s="236"/>
      <c r="C7" s="263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4" x14ac:dyDescent="0.3">
      <c r="A8" s="278" t="s">
        <v>61</v>
      </c>
      <c r="B8" s="236"/>
      <c r="C8" s="71" t="s">
        <v>11</v>
      </c>
      <c r="D8" s="290" t="s">
        <v>12</v>
      </c>
      <c r="E8" s="238"/>
      <c r="F8" s="236"/>
      <c r="G8" s="72" t="s">
        <v>13</v>
      </c>
      <c r="H8" s="60" t="s">
        <v>84</v>
      </c>
      <c r="I8" s="39" t="s">
        <v>16</v>
      </c>
      <c r="J8" s="39" t="s">
        <v>17</v>
      </c>
      <c r="K8" s="39" t="s">
        <v>18</v>
      </c>
    </row>
    <row r="9" spans="1:11" x14ac:dyDescent="0.2">
      <c r="A9" s="289" t="s">
        <v>19</v>
      </c>
      <c r="B9" s="11" t="s">
        <v>20</v>
      </c>
      <c r="C9" s="11" t="s">
        <v>85</v>
      </c>
      <c r="D9" s="249">
        <f>D4</f>
        <v>100</v>
      </c>
      <c r="E9" s="238"/>
      <c r="F9" s="236"/>
      <c r="G9" s="59">
        <f>D5*1</f>
        <v>8</v>
      </c>
      <c r="H9" s="11">
        <v>90</v>
      </c>
      <c r="I9" s="11" t="s">
        <v>85</v>
      </c>
      <c r="J9" s="11" t="s">
        <v>86</v>
      </c>
      <c r="K9" s="41">
        <f>D9*D5</f>
        <v>800</v>
      </c>
    </row>
    <row r="10" spans="1:11" x14ac:dyDescent="0.2">
      <c r="A10" s="254"/>
      <c r="B10" s="11" t="s">
        <v>23</v>
      </c>
      <c r="C10" s="11" t="s">
        <v>87</v>
      </c>
      <c r="D10" s="249">
        <f>D4</f>
        <v>100</v>
      </c>
      <c r="E10" s="238"/>
      <c r="F10" s="236"/>
      <c r="G10" s="11">
        <f>D5*1</f>
        <v>8</v>
      </c>
      <c r="H10" s="11">
        <v>90</v>
      </c>
      <c r="I10" s="11" t="s">
        <v>87</v>
      </c>
      <c r="J10" s="11" t="s">
        <v>88</v>
      </c>
      <c r="K10" s="41">
        <f>D10*D5</f>
        <v>800</v>
      </c>
    </row>
    <row r="11" spans="1:11" x14ac:dyDescent="0.2">
      <c r="A11" s="255"/>
      <c r="B11" s="11" t="s">
        <v>26</v>
      </c>
      <c r="C11" s="11" t="s">
        <v>89</v>
      </c>
      <c r="D11" s="249">
        <f>D3-1.1</f>
        <v>135.4</v>
      </c>
      <c r="E11" s="238"/>
      <c r="F11" s="236"/>
      <c r="G11" s="11">
        <f>D5*2</f>
        <v>16</v>
      </c>
      <c r="H11" s="11">
        <v>90</v>
      </c>
      <c r="I11" s="11" t="s">
        <v>89</v>
      </c>
      <c r="J11" s="11" t="s">
        <v>90</v>
      </c>
      <c r="K11" s="41">
        <f>(D11*2)*D5</f>
        <v>2166.4</v>
      </c>
    </row>
    <row r="12" spans="1:11" x14ac:dyDescent="0.2">
      <c r="A12" s="287" t="s">
        <v>91</v>
      </c>
      <c r="B12" s="11" t="s">
        <v>92</v>
      </c>
      <c r="C12" s="11" t="s">
        <v>93</v>
      </c>
      <c r="D12" s="249">
        <f>D3-2.5</f>
        <v>134</v>
      </c>
      <c r="E12" s="238"/>
      <c r="F12" s="236"/>
      <c r="G12" s="11">
        <f>D5*2</f>
        <v>16</v>
      </c>
      <c r="H12" s="11">
        <v>90</v>
      </c>
      <c r="I12" s="11" t="s">
        <v>93</v>
      </c>
      <c r="J12" s="11" t="s">
        <v>92</v>
      </c>
      <c r="K12" s="41">
        <f>(D12*2)*D5</f>
        <v>2144</v>
      </c>
    </row>
    <row r="13" spans="1:11" x14ac:dyDescent="0.2">
      <c r="A13" s="254"/>
      <c r="B13" s="11" t="s">
        <v>94</v>
      </c>
      <c r="C13" s="11" t="s">
        <v>95</v>
      </c>
      <c r="D13" s="249">
        <f>D3-2.5</f>
        <v>134</v>
      </c>
      <c r="E13" s="238"/>
      <c r="F13" s="236"/>
      <c r="G13" s="11">
        <f>D5*2</f>
        <v>16</v>
      </c>
      <c r="H13" s="11">
        <v>90</v>
      </c>
      <c r="I13" s="11" t="s">
        <v>95</v>
      </c>
      <c r="J13" s="11" t="s">
        <v>94</v>
      </c>
      <c r="K13" s="41">
        <f>(D13*2)*D5</f>
        <v>2144</v>
      </c>
    </row>
    <row r="14" spans="1:11" x14ac:dyDescent="0.2">
      <c r="A14" s="254"/>
      <c r="B14" s="11" t="s">
        <v>96</v>
      </c>
      <c r="C14" s="11" t="s">
        <v>97</v>
      </c>
      <c r="D14" s="249">
        <f>(D4-0.6)/2</f>
        <v>49.7</v>
      </c>
      <c r="E14" s="238"/>
      <c r="F14" s="236"/>
      <c r="G14" s="11">
        <f>D5*2</f>
        <v>16</v>
      </c>
      <c r="H14" s="11">
        <v>90</v>
      </c>
      <c r="I14" s="11" t="s">
        <v>97</v>
      </c>
      <c r="J14" s="11" t="s">
        <v>98</v>
      </c>
      <c r="K14" s="41">
        <f>(D14*2)*D5</f>
        <v>795.2</v>
      </c>
    </row>
    <row r="15" spans="1:11" x14ac:dyDescent="0.15">
      <c r="A15" s="255"/>
      <c r="B15" s="11" t="s">
        <v>99</v>
      </c>
      <c r="C15" s="11" t="s">
        <v>100</v>
      </c>
      <c r="D15" s="249">
        <f>(D4-0.6)/2</f>
        <v>49.7</v>
      </c>
      <c r="E15" s="238"/>
      <c r="F15" s="236"/>
      <c r="G15" s="11">
        <f>D5*2</f>
        <v>16</v>
      </c>
      <c r="H15" s="11">
        <v>90</v>
      </c>
      <c r="I15" s="11" t="s">
        <v>100</v>
      </c>
      <c r="J15" s="11" t="s">
        <v>101</v>
      </c>
      <c r="K15" s="73">
        <f>D15*2*D5</f>
        <v>795.2</v>
      </c>
    </row>
    <row r="16" spans="1:11" x14ac:dyDescent="0.15">
      <c r="A16" s="260" t="s">
        <v>39</v>
      </c>
      <c r="B16" s="260" t="s">
        <v>102</v>
      </c>
      <c r="C16" s="268"/>
      <c r="D16" s="292" t="s">
        <v>3</v>
      </c>
      <c r="E16" s="291" t="s">
        <v>41</v>
      </c>
      <c r="F16" s="242"/>
      <c r="G16" s="299"/>
      <c r="H16" s="299"/>
      <c r="I16" s="74"/>
      <c r="J16" s="74"/>
      <c r="K16" s="69"/>
    </row>
    <row r="17" spans="1:11" x14ac:dyDescent="0.15">
      <c r="A17" s="254"/>
      <c r="B17" s="254"/>
      <c r="C17" s="254"/>
      <c r="D17" s="255"/>
      <c r="E17" s="243"/>
      <c r="F17" s="245"/>
      <c r="G17" s="255"/>
      <c r="H17" s="254"/>
      <c r="I17" s="298"/>
      <c r="J17" s="69"/>
      <c r="K17" s="69"/>
    </row>
    <row r="18" spans="1:11" x14ac:dyDescent="0.15">
      <c r="A18" s="255"/>
      <c r="B18" s="255"/>
      <c r="C18" s="255"/>
      <c r="D18" s="17">
        <f>D3-9</f>
        <v>127.5</v>
      </c>
      <c r="E18" s="235">
        <f>D14-5.8</f>
        <v>43.900000000000006</v>
      </c>
      <c r="F18" s="236"/>
      <c r="G18" s="16">
        <f>D5*2</f>
        <v>16</v>
      </c>
      <c r="H18" s="255"/>
      <c r="I18" s="251"/>
      <c r="J18" s="69"/>
      <c r="K18" s="69"/>
    </row>
    <row r="19" spans="1:11" x14ac:dyDescent="0.2">
      <c r="A19" s="76" t="s">
        <v>42</v>
      </c>
      <c r="B19" s="11">
        <v>744</v>
      </c>
      <c r="C19" s="11"/>
      <c r="D19" s="249"/>
      <c r="E19" s="238"/>
      <c r="F19" s="236"/>
      <c r="G19" s="11">
        <f>(D18*4)+(E18*4)*D5</f>
        <v>1914.8000000000002</v>
      </c>
      <c r="H19" s="77" t="s">
        <v>43</v>
      </c>
      <c r="I19" s="75"/>
      <c r="J19" s="69"/>
      <c r="K19" s="69"/>
    </row>
    <row r="20" spans="1:11" x14ac:dyDescent="0.15">
      <c r="A20" s="300" t="s">
        <v>44</v>
      </c>
      <c r="B20" s="11" t="s">
        <v>103</v>
      </c>
      <c r="C20" s="11"/>
      <c r="D20" s="246"/>
      <c r="E20" s="238"/>
      <c r="F20" s="236"/>
      <c r="G20" s="11">
        <f>D5*12</f>
        <v>96</v>
      </c>
      <c r="H20" s="11"/>
      <c r="I20" s="298"/>
      <c r="J20" s="69"/>
      <c r="K20" s="69"/>
    </row>
    <row r="21" spans="1:11" ht="15.75" customHeight="1" x14ac:dyDescent="0.15">
      <c r="A21" s="254"/>
      <c r="B21" s="11" t="s">
        <v>104</v>
      </c>
      <c r="C21" s="11"/>
      <c r="D21" s="246"/>
      <c r="E21" s="238"/>
      <c r="F21" s="236"/>
      <c r="G21" s="11">
        <f>D5*10</f>
        <v>80</v>
      </c>
      <c r="H21" s="11"/>
      <c r="I21" s="251"/>
      <c r="J21" s="69"/>
      <c r="K21" s="69"/>
    </row>
    <row r="22" spans="1:11" ht="15.75" customHeight="1" x14ac:dyDescent="0.15">
      <c r="A22" s="255"/>
      <c r="B22" s="11" t="s">
        <v>105</v>
      </c>
      <c r="C22" s="11"/>
      <c r="D22" s="246"/>
      <c r="E22" s="238"/>
      <c r="F22" s="236"/>
      <c r="G22" s="11">
        <f>D5*6</f>
        <v>48</v>
      </c>
      <c r="H22" s="11"/>
      <c r="I22" s="251"/>
      <c r="J22" s="69"/>
      <c r="K22" s="69"/>
    </row>
    <row r="23" spans="1:11" ht="15.75" customHeight="1" x14ac:dyDescent="0.15">
      <c r="A23" s="76" t="s">
        <v>70</v>
      </c>
      <c r="B23" s="11" t="s">
        <v>106</v>
      </c>
      <c r="C23" s="11"/>
      <c r="D23" s="246"/>
      <c r="E23" s="238"/>
      <c r="F23" s="236"/>
      <c r="G23" s="11">
        <f>D5*10</f>
        <v>80</v>
      </c>
      <c r="H23" s="11"/>
      <c r="I23" s="75"/>
      <c r="J23" s="69"/>
      <c r="K23" s="69"/>
    </row>
    <row r="24" spans="1:11" ht="15.75" customHeight="1" x14ac:dyDescent="0.15">
      <c r="A24" s="78" t="s">
        <v>50</v>
      </c>
      <c r="B24" s="11" t="s">
        <v>107</v>
      </c>
      <c r="C24" s="11"/>
      <c r="D24" s="246"/>
      <c r="E24" s="238"/>
      <c r="F24" s="236"/>
      <c r="G24" s="11">
        <f>D5*2</f>
        <v>16</v>
      </c>
      <c r="H24" s="11"/>
      <c r="I24" s="75"/>
      <c r="J24" s="69"/>
      <c r="K24" s="69"/>
    </row>
    <row r="25" spans="1:11" ht="15.75" customHeight="1" x14ac:dyDescent="0.15">
      <c r="A25" s="300" t="s">
        <v>53</v>
      </c>
      <c r="B25" s="11" t="s">
        <v>108</v>
      </c>
      <c r="C25" s="11"/>
      <c r="D25" s="246"/>
      <c r="E25" s="238"/>
      <c r="F25" s="236"/>
      <c r="G25" s="11">
        <f>D5*2</f>
        <v>16</v>
      </c>
      <c r="H25" s="11"/>
      <c r="I25" s="298"/>
      <c r="J25" s="69"/>
      <c r="K25" s="69"/>
    </row>
    <row r="26" spans="1:11" ht="15.75" customHeight="1" x14ac:dyDescent="0.15">
      <c r="A26" s="255"/>
      <c r="B26" s="11" t="s">
        <v>109</v>
      </c>
      <c r="C26" s="11"/>
      <c r="D26" s="246"/>
      <c r="E26" s="238"/>
      <c r="F26" s="236"/>
      <c r="G26" s="11">
        <f>D5*3</f>
        <v>24</v>
      </c>
      <c r="H26" s="11"/>
      <c r="I26" s="251"/>
      <c r="J26" s="69"/>
      <c r="K26" s="69"/>
    </row>
    <row r="27" spans="1:11" ht="15.75" customHeight="1" x14ac:dyDescent="0.15">
      <c r="A27" s="76" t="s">
        <v>54</v>
      </c>
      <c r="B27" s="11" t="s">
        <v>110</v>
      </c>
      <c r="C27" s="11"/>
      <c r="D27" s="246"/>
      <c r="E27" s="238"/>
      <c r="F27" s="236"/>
      <c r="G27" s="11">
        <f>D5*1</f>
        <v>8</v>
      </c>
      <c r="H27" s="11"/>
      <c r="I27" s="75"/>
      <c r="J27" s="69"/>
      <c r="K27" s="69"/>
    </row>
    <row r="28" spans="1:11" ht="15.75" customHeight="1" x14ac:dyDescent="0.2">
      <c r="A28" s="239" t="s">
        <v>56</v>
      </c>
      <c r="B28" s="236"/>
      <c r="C28" s="239"/>
      <c r="D28" s="238"/>
      <c r="E28" s="238"/>
      <c r="F28" s="238"/>
      <c r="G28" s="238"/>
      <c r="H28" s="236"/>
      <c r="I28" s="75"/>
      <c r="J28" s="69"/>
      <c r="K28" s="69"/>
    </row>
    <row r="29" spans="1:11" ht="15.75" customHeight="1" x14ac:dyDescent="0.2">
      <c r="A29" s="239" t="s">
        <v>57</v>
      </c>
      <c r="B29" s="236"/>
      <c r="C29" s="239"/>
      <c r="D29" s="238"/>
      <c r="E29" s="238"/>
      <c r="F29" s="238"/>
      <c r="G29" s="238"/>
      <c r="H29" s="236"/>
      <c r="I29" s="75"/>
      <c r="J29" s="69"/>
      <c r="K29" s="69"/>
    </row>
    <row r="30" spans="1:11" ht="15.75" customHeight="1" x14ac:dyDescent="0.2">
      <c r="A30" s="240" t="s">
        <v>58</v>
      </c>
      <c r="B30" s="241"/>
      <c r="C30" s="241"/>
      <c r="D30" s="241"/>
      <c r="E30" s="242"/>
      <c r="F30" s="239"/>
      <c r="G30" s="238"/>
      <c r="H30" s="236"/>
      <c r="I30" s="75"/>
      <c r="J30" s="69"/>
      <c r="K30" s="69"/>
    </row>
    <row r="31" spans="1:11" ht="15.75" customHeight="1" x14ac:dyDescent="0.2">
      <c r="A31" s="243"/>
      <c r="B31" s="244"/>
      <c r="C31" s="244"/>
      <c r="D31" s="244"/>
      <c r="E31" s="245"/>
      <c r="F31" s="239" t="s">
        <v>59</v>
      </c>
      <c r="G31" s="238"/>
      <c r="H31" s="236"/>
      <c r="I31" s="69"/>
      <c r="J31" s="69"/>
      <c r="K31" s="69"/>
    </row>
    <row r="32" spans="1:11" ht="15.75" customHeight="1" x14ac:dyDescent="0.25">
      <c r="A32" s="79"/>
      <c r="B32" s="69"/>
      <c r="C32" s="69"/>
      <c r="D32" s="69"/>
      <c r="E32" s="69"/>
      <c r="F32" s="69"/>
      <c r="G32" s="69"/>
      <c r="H32" s="80"/>
      <c r="I32" s="69"/>
      <c r="J32" s="69"/>
      <c r="K32" s="69"/>
    </row>
    <row r="33" spans="1:11" ht="15.75" customHeight="1" x14ac:dyDescent="0.25">
      <c r="A33" s="79"/>
      <c r="B33" s="69"/>
      <c r="C33" s="81"/>
      <c r="D33" s="69"/>
      <c r="E33" s="69"/>
      <c r="F33" s="69"/>
      <c r="G33" s="69"/>
      <c r="H33" s="80"/>
      <c r="I33" s="69"/>
      <c r="J33" s="69"/>
      <c r="K33" s="69"/>
    </row>
    <row r="34" spans="1:11" ht="15.75" customHeight="1" x14ac:dyDescent="0.25">
      <c r="A34" s="79"/>
      <c r="B34" s="69"/>
      <c r="C34" s="69"/>
      <c r="D34" s="69"/>
      <c r="E34" s="69"/>
      <c r="F34" s="69"/>
      <c r="G34" s="82"/>
      <c r="H34" s="80"/>
      <c r="I34" s="69"/>
      <c r="J34" s="69"/>
      <c r="K34" s="69"/>
    </row>
    <row r="35" spans="1:11" ht="15.75" customHeight="1" x14ac:dyDescent="0.25">
      <c r="A35" s="79"/>
      <c r="B35" s="69"/>
      <c r="C35" s="69"/>
      <c r="D35" s="69"/>
      <c r="E35" s="69"/>
      <c r="F35" s="69"/>
      <c r="G35" s="83"/>
      <c r="H35" s="80"/>
      <c r="I35" s="69"/>
      <c r="J35" s="69"/>
      <c r="K35" s="69"/>
    </row>
    <row r="36" spans="1:11" ht="15.75" customHeight="1" x14ac:dyDescent="0.25">
      <c r="A36" s="79"/>
      <c r="B36" s="69"/>
      <c r="C36" s="69"/>
      <c r="D36" s="69"/>
      <c r="E36" s="296">
        <f>D3</f>
        <v>136.5</v>
      </c>
      <c r="F36" s="251"/>
      <c r="G36" s="251"/>
      <c r="H36" s="80"/>
      <c r="I36" s="69"/>
      <c r="J36" s="69"/>
      <c r="K36" s="69"/>
    </row>
    <row r="37" spans="1:11" ht="15.75" customHeight="1" x14ac:dyDescent="0.25">
      <c r="A37" s="79"/>
      <c r="B37" s="69"/>
      <c r="C37" s="69"/>
      <c r="D37" s="69"/>
      <c r="E37" s="69"/>
      <c r="F37" s="69"/>
      <c r="G37" s="83"/>
      <c r="H37" s="80"/>
      <c r="I37" s="69"/>
      <c r="J37" s="69"/>
      <c r="K37" s="69"/>
    </row>
    <row r="38" spans="1:11" ht="15.75" customHeight="1" x14ac:dyDescent="0.25">
      <c r="A38" s="79"/>
      <c r="B38" s="69"/>
      <c r="C38" s="69"/>
      <c r="D38" s="69"/>
      <c r="E38" s="69"/>
      <c r="F38" s="69"/>
      <c r="G38" s="83"/>
      <c r="H38" s="80"/>
      <c r="I38" s="69"/>
      <c r="J38" s="69"/>
      <c r="K38" s="69"/>
    </row>
    <row r="39" spans="1:11" ht="15.75" customHeight="1" x14ac:dyDescent="0.25">
      <c r="A39" s="79"/>
      <c r="B39" s="69"/>
      <c r="C39" s="69"/>
      <c r="D39" s="69"/>
      <c r="E39" s="69"/>
      <c r="F39" s="69"/>
      <c r="G39" s="83"/>
      <c r="H39" s="80"/>
      <c r="I39" s="69"/>
      <c r="J39" s="69"/>
      <c r="K39" s="69"/>
    </row>
    <row r="40" spans="1:11" ht="15.75" customHeight="1" x14ac:dyDescent="0.25">
      <c r="A40" s="79"/>
      <c r="B40" s="69"/>
      <c r="C40" s="69"/>
      <c r="D40" s="69"/>
      <c r="E40" s="69"/>
      <c r="F40" s="69"/>
      <c r="G40" s="83"/>
      <c r="H40" s="80"/>
      <c r="I40" s="69"/>
      <c r="J40" s="69"/>
      <c r="K40" s="69"/>
    </row>
    <row r="41" spans="1:11" ht="15.75" customHeight="1" x14ac:dyDescent="0.25">
      <c r="A41" s="79"/>
      <c r="B41" s="69"/>
      <c r="C41" s="297">
        <f>D4</f>
        <v>100</v>
      </c>
      <c r="D41" s="251"/>
      <c r="E41" s="251"/>
      <c r="F41" s="69"/>
      <c r="G41" s="83"/>
      <c r="H41" s="80"/>
      <c r="I41" s="69"/>
      <c r="J41" s="69"/>
      <c r="K41" s="69"/>
    </row>
    <row r="42" spans="1:11" ht="15.75" customHeight="1" x14ac:dyDescent="0.25">
      <c r="A42" s="79"/>
      <c r="B42" s="69"/>
      <c r="C42" s="81"/>
      <c r="D42" s="69"/>
      <c r="E42" s="69"/>
      <c r="F42" s="69"/>
      <c r="G42" s="69"/>
      <c r="H42" s="80"/>
      <c r="I42" s="69"/>
      <c r="J42" s="69"/>
      <c r="K42" s="69"/>
    </row>
    <row r="43" spans="1:11" ht="15.75" customHeight="1" x14ac:dyDescent="0.25">
      <c r="A43" s="79"/>
      <c r="B43" s="69"/>
      <c r="C43" s="69"/>
      <c r="D43" s="69"/>
      <c r="E43" s="69"/>
      <c r="F43" s="69"/>
      <c r="G43" s="69"/>
      <c r="H43" s="80"/>
      <c r="I43" s="69"/>
      <c r="J43" s="69"/>
      <c r="K43" s="69"/>
    </row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8">
    <mergeCell ref="A29:B29"/>
    <mergeCell ref="A28:B28"/>
    <mergeCell ref="I25:I26"/>
    <mergeCell ref="F31:H31"/>
    <mergeCell ref="F30:H30"/>
    <mergeCell ref="A30:E31"/>
    <mergeCell ref="C28:H28"/>
    <mergeCell ref="C29:H29"/>
    <mergeCell ref="A25:A26"/>
    <mergeCell ref="I17:I18"/>
    <mergeCell ref="I20:I22"/>
    <mergeCell ref="H16:H18"/>
    <mergeCell ref="G16:G17"/>
    <mergeCell ref="A16:A18"/>
    <mergeCell ref="A20:A22"/>
    <mergeCell ref="D19:F19"/>
    <mergeCell ref="E18:F18"/>
    <mergeCell ref="D25:F25"/>
    <mergeCell ref="D24:F24"/>
    <mergeCell ref="D21:F21"/>
    <mergeCell ref="D20:F20"/>
    <mergeCell ref="D26:F26"/>
    <mergeCell ref="D27:F27"/>
    <mergeCell ref="E36:G36"/>
    <mergeCell ref="C41:E41"/>
    <mergeCell ref="D22:F22"/>
    <mergeCell ref="D23:F23"/>
    <mergeCell ref="I7:K7"/>
    <mergeCell ref="C7:H7"/>
    <mergeCell ref="A1:H1"/>
    <mergeCell ref="A2:H2"/>
    <mergeCell ref="D5:E5"/>
    <mergeCell ref="A5:C5"/>
    <mergeCell ref="F5:H5"/>
    <mergeCell ref="D3:E3"/>
    <mergeCell ref="F3:H3"/>
    <mergeCell ref="D4:E4"/>
    <mergeCell ref="F4:H4"/>
    <mergeCell ref="C6:H6"/>
    <mergeCell ref="A3:C3"/>
    <mergeCell ref="D15:F15"/>
    <mergeCell ref="E16:F17"/>
    <mergeCell ref="D16:D17"/>
    <mergeCell ref="B16:B18"/>
    <mergeCell ref="C16:C18"/>
    <mergeCell ref="D10:F10"/>
    <mergeCell ref="A12:A15"/>
    <mergeCell ref="D14:F14"/>
    <mergeCell ref="D11:F11"/>
    <mergeCell ref="D12:F12"/>
    <mergeCell ref="A4:C4"/>
    <mergeCell ref="A7:B7"/>
    <mergeCell ref="A6:B6"/>
    <mergeCell ref="A9:A11"/>
    <mergeCell ref="A8:B8"/>
    <mergeCell ref="D9:F9"/>
    <mergeCell ref="D8:F8"/>
    <mergeCell ref="D13:F1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workbookViewId="0"/>
  </sheetViews>
  <sheetFormatPr defaultColWidth="14.390625" defaultRowHeight="15" customHeight="1" x14ac:dyDescent="0.2"/>
  <cols>
    <col min="1" max="1" width="16.94921875" customWidth="1"/>
    <col min="2" max="2" width="18.29296875" customWidth="1"/>
    <col min="3" max="3" width="8.0703125" customWidth="1"/>
    <col min="4" max="4" width="13.31640625" customWidth="1"/>
    <col min="5" max="5" width="7.53125" customWidth="1"/>
    <col min="6" max="6" width="4.16796875" customWidth="1"/>
    <col min="7" max="7" width="6.859375" customWidth="1"/>
    <col min="8" max="8" width="10.22265625" customWidth="1"/>
    <col min="9" max="9" width="17.08203125" customWidth="1"/>
    <col min="10" max="10" width="21.38671875" customWidth="1"/>
    <col min="11" max="11" width="19.50390625" customWidth="1"/>
    <col min="12" max="13" width="8.609375" customWidth="1"/>
  </cols>
  <sheetData>
    <row r="1" spans="1:11" ht="22.5" x14ac:dyDescent="0.25">
      <c r="A1" s="313" t="s">
        <v>0</v>
      </c>
      <c r="B1" s="314"/>
      <c r="C1" s="314"/>
      <c r="D1" s="314"/>
      <c r="E1" s="314"/>
      <c r="F1" s="314"/>
      <c r="G1" s="314"/>
      <c r="H1" s="315"/>
      <c r="I1" s="85" t="s">
        <v>1</v>
      </c>
      <c r="J1" s="86"/>
      <c r="K1" s="86"/>
    </row>
    <row r="2" spans="1:11" ht="22.5" x14ac:dyDescent="0.25">
      <c r="A2" s="316" t="s">
        <v>111</v>
      </c>
      <c r="B2" s="238"/>
      <c r="C2" s="238"/>
      <c r="D2" s="238"/>
      <c r="E2" s="238"/>
      <c r="F2" s="238"/>
      <c r="G2" s="238"/>
      <c r="H2" s="236"/>
      <c r="I2" s="85"/>
      <c r="J2" s="86"/>
    </row>
    <row r="3" spans="1:11" ht="20.25" x14ac:dyDescent="0.25">
      <c r="A3" s="309" t="s">
        <v>3</v>
      </c>
      <c r="B3" s="238"/>
      <c r="C3" s="236"/>
      <c r="D3" s="35">
        <v>150</v>
      </c>
      <c r="E3" s="312" t="s">
        <v>112</v>
      </c>
      <c r="F3" s="238"/>
      <c r="G3" s="238"/>
      <c r="H3" s="236"/>
      <c r="I3" s="87" t="s">
        <v>5</v>
      </c>
      <c r="J3" s="88"/>
      <c r="K3" s="88"/>
    </row>
    <row r="4" spans="1:11" ht="20.25" x14ac:dyDescent="0.25">
      <c r="A4" s="310" t="s">
        <v>6</v>
      </c>
      <c r="B4" s="238"/>
      <c r="C4" s="236"/>
      <c r="D4" s="35">
        <v>266.7</v>
      </c>
      <c r="E4" s="312" t="s">
        <v>112</v>
      </c>
      <c r="F4" s="238"/>
      <c r="G4" s="238"/>
      <c r="H4" s="236"/>
      <c r="I4" s="70"/>
      <c r="J4" s="88"/>
      <c r="K4" s="88"/>
    </row>
    <row r="5" spans="1:11" ht="20.25" x14ac:dyDescent="0.25">
      <c r="A5" s="310" t="s">
        <v>7</v>
      </c>
      <c r="B5" s="238"/>
      <c r="C5" s="89"/>
      <c r="D5" s="90">
        <v>1</v>
      </c>
      <c r="E5" s="311"/>
      <c r="F5" s="238"/>
      <c r="G5" s="238"/>
      <c r="H5" s="236"/>
      <c r="I5" s="91"/>
      <c r="J5" s="88"/>
      <c r="K5" s="88"/>
    </row>
    <row r="6" spans="1:11" ht="20.25" x14ac:dyDescent="0.25">
      <c r="A6" s="308" t="s">
        <v>72</v>
      </c>
      <c r="B6" s="236"/>
      <c r="C6" s="307"/>
      <c r="D6" s="238"/>
      <c r="E6" s="238"/>
      <c r="F6" s="238"/>
      <c r="G6" s="238"/>
      <c r="H6" s="236"/>
      <c r="J6" s="88"/>
      <c r="K6" s="88"/>
    </row>
    <row r="7" spans="1:11" ht="21" x14ac:dyDescent="0.3">
      <c r="A7" s="308" t="s">
        <v>9</v>
      </c>
      <c r="B7" s="236"/>
      <c r="C7" s="307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8.5" x14ac:dyDescent="0.3">
      <c r="A8" s="310" t="s">
        <v>61</v>
      </c>
      <c r="B8" s="236"/>
      <c r="C8" s="92" t="s">
        <v>11</v>
      </c>
      <c r="D8" s="327" t="s">
        <v>12</v>
      </c>
      <c r="E8" s="238"/>
      <c r="F8" s="236"/>
      <c r="G8" s="93" t="s">
        <v>113</v>
      </c>
      <c r="H8" s="94" t="s">
        <v>84</v>
      </c>
      <c r="I8" s="39" t="s">
        <v>16</v>
      </c>
      <c r="J8" s="39" t="s">
        <v>17</v>
      </c>
      <c r="K8" s="39" t="s">
        <v>18</v>
      </c>
    </row>
    <row r="9" spans="1:11" x14ac:dyDescent="0.2">
      <c r="A9" s="328" t="s">
        <v>19</v>
      </c>
      <c r="B9" s="95" t="s">
        <v>20</v>
      </c>
      <c r="C9" s="95" t="s">
        <v>85</v>
      </c>
      <c r="D9" s="326">
        <f>D4</f>
        <v>266.7</v>
      </c>
      <c r="E9" s="238"/>
      <c r="F9" s="236"/>
      <c r="G9" s="95">
        <f>D5*1</f>
        <v>1</v>
      </c>
      <c r="H9" s="95">
        <v>90</v>
      </c>
      <c r="I9" s="11" t="s">
        <v>85</v>
      </c>
      <c r="J9" s="11" t="s">
        <v>86</v>
      </c>
      <c r="K9" s="41">
        <f>D9*D5</f>
        <v>266.7</v>
      </c>
    </row>
    <row r="10" spans="1:11" x14ac:dyDescent="0.2">
      <c r="A10" s="304"/>
      <c r="B10" s="95" t="s">
        <v>23</v>
      </c>
      <c r="C10" s="95" t="s">
        <v>87</v>
      </c>
      <c r="D10" s="326">
        <f>D4</f>
        <v>266.7</v>
      </c>
      <c r="E10" s="238"/>
      <c r="F10" s="236"/>
      <c r="G10" s="95">
        <f>D5*1</f>
        <v>1</v>
      </c>
      <c r="H10" s="95">
        <v>90</v>
      </c>
      <c r="I10" s="11" t="s">
        <v>87</v>
      </c>
      <c r="J10" s="11" t="s">
        <v>88</v>
      </c>
      <c r="K10" s="41">
        <f>D10*D5</f>
        <v>266.7</v>
      </c>
    </row>
    <row r="11" spans="1:11" x14ac:dyDescent="0.2">
      <c r="A11" s="305"/>
      <c r="B11" s="95" t="s">
        <v>26</v>
      </c>
      <c r="C11" s="95" t="s">
        <v>89</v>
      </c>
      <c r="D11" s="326">
        <f>D3-1.1</f>
        <v>148.9</v>
      </c>
      <c r="E11" s="238"/>
      <c r="F11" s="236"/>
      <c r="G11" s="95">
        <f>D5*2</f>
        <v>2</v>
      </c>
      <c r="H11" s="95">
        <v>90</v>
      </c>
      <c r="I11" s="11" t="s">
        <v>89</v>
      </c>
      <c r="J11" s="11" t="s">
        <v>90</v>
      </c>
      <c r="K11" s="41">
        <f>(D11*2)*D5</f>
        <v>297.8</v>
      </c>
    </row>
    <row r="12" spans="1:11" x14ac:dyDescent="0.2">
      <c r="A12" s="325" t="s">
        <v>29</v>
      </c>
      <c r="B12" s="95" t="s">
        <v>92</v>
      </c>
      <c r="C12" s="95" t="s">
        <v>93</v>
      </c>
      <c r="D12" s="326">
        <f>D3-2.5</f>
        <v>147.5</v>
      </c>
      <c r="E12" s="238"/>
      <c r="F12" s="236"/>
      <c r="G12" s="95">
        <f>D5*4</f>
        <v>4</v>
      </c>
      <c r="H12" s="95">
        <v>90</v>
      </c>
      <c r="I12" s="11" t="s">
        <v>93</v>
      </c>
      <c r="J12" s="11" t="s">
        <v>92</v>
      </c>
      <c r="K12" s="41">
        <f>(D12*4)*D5</f>
        <v>590</v>
      </c>
    </row>
    <row r="13" spans="1:11" x14ac:dyDescent="0.2">
      <c r="A13" s="304"/>
      <c r="B13" s="95" t="s">
        <v>94</v>
      </c>
      <c r="C13" s="95" t="s">
        <v>95</v>
      </c>
      <c r="D13" s="326">
        <f>D3-2.5</f>
        <v>147.5</v>
      </c>
      <c r="E13" s="238"/>
      <c r="F13" s="236"/>
      <c r="G13" s="95">
        <f>D5*4</f>
        <v>4</v>
      </c>
      <c r="H13" s="95">
        <v>90</v>
      </c>
      <c r="I13" s="11" t="s">
        <v>95</v>
      </c>
      <c r="J13" s="11" t="s">
        <v>94</v>
      </c>
      <c r="K13" s="41">
        <f>(D13*4)*D5</f>
        <v>590</v>
      </c>
    </row>
    <row r="14" spans="1:11" x14ac:dyDescent="0.2">
      <c r="A14" s="304"/>
      <c r="B14" s="95" t="s">
        <v>114</v>
      </c>
      <c r="C14" s="95" t="s">
        <v>115</v>
      </c>
      <c r="D14" s="326">
        <f>D3-2.5</f>
        <v>147.5</v>
      </c>
      <c r="E14" s="238"/>
      <c r="F14" s="236"/>
      <c r="G14" s="95">
        <f>D5*1</f>
        <v>1</v>
      </c>
      <c r="H14" s="95">
        <v>90</v>
      </c>
      <c r="I14" s="11" t="s">
        <v>97</v>
      </c>
      <c r="J14" s="11" t="s">
        <v>98</v>
      </c>
      <c r="K14" s="41">
        <f>(D15*4)*D5</f>
        <v>267.7</v>
      </c>
    </row>
    <row r="15" spans="1:11" x14ac:dyDescent="0.15">
      <c r="A15" s="304"/>
      <c r="B15" s="95" t="s">
        <v>96</v>
      </c>
      <c r="C15" s="95" t="s">
        <v>97</v>
      </c>
      <c r="D15" s="326">
        <f>(D4+1)/4</f>
        <v>66.924999999999997</v>
      </c>
      <c r="E15" s="238"/>
      <c r="F15" s="236"/>
      <c r="G15" s="95">
        <f>D5*4</f>
        <v>4</v>
      </c>
      <c r="H15" s="95">
        <v>90</v>
      </c>
      <c r="I15" s="11" t="s">
        <v>100</v>
      </c>
      <c r="J15" s="11" t="s">
        <v>101</v>
      </c>
      <c r="K15" s="96">
        <f>D16*4*D5</f>
        <v>267.7</v>
      </c>
    </row>
    <row r="16" spans="1:11" x14ac:dyDescent="0.15">
      <c r="A16" s="305"/>
      <c r="B16" s="95" t="s">
        <v>99</v>
      </c>
      <c r="C16" s="95" t="s">
        <v>100</v>
      </c>
      <c r="D16" s="326">
        <f>(D4+1)/4</f>
        <v>66.924999999999997</v>
      </c>
      <c r="E16" s="238"/>
      <c r="F16" s="236"/>
      <c r="G16" s="95">
        <f>D5*4</f>
        <v>4</v>
      </c>
      <c r="H16" s="95">
        <v>90</v>
      </c>
      <c r="I16" s="11" t="s">
        <v>116</v>
      </c>
      <c r="J16" s="11" t="s">
        <v>117</v>
      </c>
      <c r="K16" s="73">
        <f>D14*D5</f>
        <v>147.5</v>
      </c>
    </row>
    <row r="17" spans="1:13" ht="15" customHeight="1" x14ac:dyDescent="0.15">
      <c r="A17" s="303" t="s">
        <v>39</v>
      </c>
      <c r="B17" s="260" t="s">
        <v>118</v>
      </c>
      <c r="C17" s="268"/>
      <c r="D17" s="306" t="s">
        <v>3</v>
      </c>
      <c r="E17" s="301" t="s">
        <v>41</v>
      </c>
      <c r="F17" s="242"/>
      <c r="G17" s="299"/>
      <c r="H17" s="299"/>
      <c r="I17" s="97"/>
      <c r="J17" s="86"/>
      <c r="K17" s="86"/>
    </row>
    <row r="18" spans="1:13" ht="15" customHeight="1" x14ac:dyDescent="0.15">
      <c r="A18" s="304"/>
      <c r="B18" s="254"/>
      <c r="C18" s="254"/>
      <c r="D18" s="255"/>
      <c r="E18" s="243"/>
      <c r="F18" s="245"/>
      <c r="G18" s="255"/>
      <c r="H18" s="255"/>
      <c r="I18" s="97"/>
      <c r="J18" s="86"/>
      <c r="K18" s="86"/>
    </row>
    <row r="19" spans="1:13" x14ac:dyDescent="0.15">
      <c r="A19" s="305"/>
      <c r="B19" s="255"/>
      <c r="C19" s="255"/>
      <c r="D19" s="17">
        <f>D3-9</f>
        <v>141</v>
      </c>
      <c r="E19" s="235">
        <f>D15-5.4</f>
        <v>61.524999999999999</v>
      </c>
      <c r="F19" s="236"/>
      <c r="G19" s="16">
        <f>D5*4</f>
        <v>4</v>
      </c>
      <c r="H19" s="16"/>
      <c r="I19" s="97"/>
      <c r="J19" s="86"/>
      <c r="K19" s="86"/>
    </row>
    <row r="20" spans="1:13" x14ac:dyDescent="0.15">
      <c r="A20" s="98" t="s">
        <v>42</v>
      </c>
      <c r="B20" s="95">
        <v>744</v>
      </c>
      <c r="C20" s="95"/>
      <c r="D20" s="302"/>
      <c r="E20" s="238"/>
      <c r="F20" s="236"/>
      <c r="G20" s="95">
        <f>(D19*8)+(E19*8)*D5</f>
        <v>1620.2</v>
      </c>
      <c r="H20" s="95" t="s">
        <v>43</v>
      </c>
      <c r="I20" s="97"/>
      <c r="J20" s="86"/>
      <c r="K20" s="86"/>
    </row>
    <row r="21" spans="1:13" ht="15.75" customHeight="1" x14ac:dyDescent="0.15">
      <c r="A21" s="325" t="s">
        <v>44</v>
      </c>
      <c r="B21" s="95" t="s">
        <v>45</v>
      </c>
      <c r="C21" s="95"/>
      <c r="D21" s="317"/>
      <c r="E21" s="238"/>
      <c r="F21" s="236"/>
      <c r="G21" s="95">
        <f>D5*36</f>
        <v>36</v>
      </c>
      <c r="H21" s="95"/>
      <c r="I21" s="323"/>
      <c r="J21" s="86"/>
      <c r="K21" s="86"/>
    </row>
    <row r="22" spans="1:13" ht="15.75" customHeight="1" x14ac:dyDescent="0.15">
      <c r="A22" s="304"/>
      <c r="B22" s="95" t="s">
        <v>119</v>
      </c>
      <c r="C22" s="95"/>
      <c r="D22" s="317"/>
      <c r="E22" s="238"/>
      <c r="F22" s="236"/>
      <c r="G22" s="95">
        <f>D5*10</f>
        <v>10</v>
      </c>
      <c r="H22" s="95"/>
      <c r="I22" s="324"/>
      <c r="J22" s="86"/>
      <c r="K22" s="86"/>
    </row>
    <row r="23" spans="1:13" ht="15.75" customHeight="1" x14ac:dyDescent="0.15">
      <c r="A23" s="305"/>
      <c r="B23" s="95" t="s">
        <v>105</v>
      </c>
      <c r="C23" s="95"/>
      <c r="D23" s="317"/>
      <c r="E23" s="238"/>
      <c r="F23" s="236"/>
      <c r="G23" s="95">
        <f>D5*12</f>
        <v>12</v>
      </c>
      <c r="H23" s="95"/>
      <c r="I23" s="324"/>
      <c r="J23" s="86"/>
      <c r="K23" s="86"/>
    </row>
    <row r="24" spans="1:13" ht="15.75" customHeight="1" x14ac:dyDescent="0.2">
      <c r="A24" s="98" t="s">
        <v>70</v>
      </c>
      <c r="B24" s="95" t="s">
        <v>106</v>
      </c>
      <c r="C24" s="95"/>
      <c r="D24" s="317"/>
      <c r="E24" s="238"/>
      <c r="F24" s="236"/>
      <c r="G24" s="95">
        <f>D5*10</f>
        <v>10</v>
      </c>
      <c r="H24" s="95"/>
      <c r="I24" s="97"/>
      <c r="J24" s="86"/>
      <c r="K24" s="86"/>
      <c r="M24" s="2"/>
    </row>
    <row r="25" spans="1:13" ht="15.75" customHeight="1" x14ac:dyDescent="0.15">
      <c r="A25" s="100" t="s">
        <v>80</v>
      </c>
      <c r="B25" s="95" t="s">
        <v>107</v>
      </c>
      <c r="C25" s="95"/>
      <c r="D25" s="317"/>
      <c r="E25" s="238"/>
      <c r="F25" s="236"/>
      <c r="G25" s="95">
        <f>D5*4</f>
        <v>4</v>
      </c>
      <c r="H25" s="95"/>
      <c r="I25" s="97"/>
      <c r="J25" s="86"/>
      <c r="K25" s="86"/>
    </row>
    <row r="26" spans="1:13" ht="15.75" customHeight="1" x14ac:dyDescent="0.15">
      <c r="A26" s="325" t="s">
        <v>53</v>
      </c>
      <c r="B26" s="95" t="s">
        <v>120</v>
      </c>
      <c r="C26" s="95"/>
      <c r="D26" s="317"/>
      <c r="E26" s="238"/>
      <c r="F26" s="236"/>
      <c r="G26" s="95">
        <f>D5*4</f>
        <v>4</v>
      </c>
      <c r="H26" s="95"/>
      <c r="I26" s="97"/>
      <c r="J26" s="86"/>
      <c r="K26" s="86"/>
    </row>
    <row r="27" spans="1:13" ht="15.75" customHeight="1" x14ac:dyDescent="0.15">
      <c r="A27" s="305"/>
      <c r="B27" s="95" t="s">
        <v>121</v>
      </c>
      <c r="C27" s="95"/>
      <c r="D27" s="317"/>
      <c r="E27" s="238"/>
      <c r="F27" s="236"/>
      <c r="G27" s="95">
        <f>D5*4</f>
        <v>4</v>
      </c>
      <c r="H27" s="95"/>
      <c r="I27" s="97"/>
      <c r="J27" s="86"/>
      <c r="K27" s="86"/>
    </row>
    <row r="28" spans="1:13" ht="15.75" customHeight="1" x14ac:dyDescent="0.15">
      <c r="A28" s="98" t="s">
        <v>54</v>
      </c>
      <c r="B28" s="95" t="s">
        <v>122</v>
      </c>
      <c r="C28" s="95"/>
      <c r="D28" s="329"/>
      <c r="E28" s="241"/>
      <c r="F28" s="242"/>
      <c r="G28" s="95">
        <f>D5*1</f>
        <v>1</v>
      </c>
      <c r="H28" s="95"/>
      <c r="I28" s="97"/>
      <c r="J28" s="86"/>
      <c r="K28" s="86"/>
    </row>
    <row r="29" spans="1:13" ht="15.75" customHeight="1" x14ac:dyDescent="0.15">
      <c r="A29" s="98"/>
      <c r="B29" s="95" t="s">
        <v>123</v>
      </c>
      <c r="C29" s="99"/>
      <c r="D29" s="99"/>
      <c r="E29" s="101"/>
      <c r="F29" s="102"/>
      <c r="G29" s="102">
        <f>D5*1</f>
        <v>1</v>
      </c>
      <c r="H29" s="95"/>
      <c r="I29" s="97"/>
      <c r="J29" s="86"/>
      <c r="K29" s="86"/>
    </row>
    <row r="30" spans="1:13" ht="15.75" customHeight="1" x14ac:dyDescent="0.2">
      <c r="A30" s="309" t="s">
        <v>56</v>
      </c>
      <c r="B30" s="236"/>
      <c r="C30" s="311"/>
      <c r="D30" s="238"/>
      <c r="E30" s="238"/>
      <c r="F30" s="238"/>
      <c r="G30" s="238"/>
      <c r="H30" s="236"/>
      <c r="I30" s="97"/>
      <c r="J30" s="86"/>
      <c r="K30" s="86"/>
    </row>
    <row r="31" spans="1:13" ht="15.75" customHeight="1" x14ac:dyDescent="0.2">
      <c r="A31" s="309" t="s">
        <v>57</v>
      </c>
      <c r="B31" s="236"/>
      <c r="C31" s="311"/>
      <c r="D31" s="238"/>
      <c r="E31" s="238"/>
      <c r="F31" s="238"/>
      <c r="G31" s="238"/>
      <c r="H31" s="236"/>
      <c r="I31" s="97"/>
      <c r="J31" s="86"/>
      <c r="K31" s="86"/>
    </row>
    <row r="32" spans="1:13" ht="15" customHeight="1" x14ac:dyDescent="0.2">
      <c r="A32" s="318" t="s">
        <v>58</v>
      </c>
      <c r="B32" s="251"/>
      <c r="C32" s="251"/>
      <c r="D32" s="251"/>
      <c r="E32" s="272"/>
      <c r="F32" s="311"/>
      <c r="G32" s="238"/>
      <c r="H32" s="236"/>
      <c r="I32" s="86"/>
      <c r="J32" s="86"/>
      <c r="K32" s="86"/>
    </row>
    <row r="33" spans="1:11" ht="15.75" customHeight="1" x14ac:dyDescent="0.2">
      <c r="A33" s="244"/>
      <c r="B33" s="244"/>
      <c r="C33" s="244"/>
      <c r="D33" s="244"/>
      <c r="E33" s="245"/>
      <c r="F33" s="320" t="s">
        <v>59</v>
      </c>
      <c r="G33" s="321"/>
      <c r="H33" s="322"/>
      <c r="I33" s="86"/>
      <c r="J33" s="86"/>
      <c r="K33" s="86"/>
    </row>
    <row r="34" spans="1:11" ht="15.75" customHeight="1" x14ac:dyDescent="0.2">
      <c r="A34" s="53"/>
      <c r="B34" s="53"/>
      <c r="C34" s="319"/>
      <c r="D34" s="251"/>
      <c r="E34" s="251"/>
      <c r="F34" s="251"/>
      <c r="G34" s="251"/>
      <c r="H34" s="103"/>
      <c r="I34" s="86"/>
      <c r="J34" s="86"/>
      <c r="K34" s="86"/>
    </row>
    <row r="35" spans="1:11" ht="15.75" customHeight="1" x14ac:dyDescent="0.25">
      <c r="A35" s="68"/>
      <c r="B35" s="54"/>
      <c r="C35" s="103"/>
      <c r="D35" s="2"/>
      <c r="E35" s="30"/>
      <c r="F35" s="30"/>
      <c r="G35" s="103"/>
      <c r="H35" s="104"/>
      <c r="I35" s="86"/>
      <c r="J35" s="86"/>
      <c r="K35" s="86"/>
    </row>
    <row r="36" spans="1:11" ht="15.75" customHeight="1" x14ac:dyDescent="0.25">
      <c r="A36" s="68"/>
      <c r="B36" s="30"/>
      <c r="C36" s="30"/>
      <c r="D36" s="30"/>
      <c r="E36" s="30"/>
      <c r="F36" s="30"/>
      <c r="G36" s="103"/>
      <c r="H36" s="104"/>
      <c r="I36" s="86"/>
      <c r="J36" s="86"/>
      <c r="K36" s="86"/>
    </row>
    <row r="37" spans="1:11" ht="15.75" customHeight="1" x14ac:dyDescent="0.25">
      <c r="A37" s="68"/>
      <c r="B37" s="30"/>
      <c r="C37" s="30"/>
      <c r="D37" s="30"/>
      <c r="E37" s="30"/>
      <c r="F37" s="30"/>
      <c r="G37" s="297">
        <f>D3</f>
        <v>150</v>
      </c>
      <c r="H37" s="251"/>
      <c r="I37" s="86"/>
      <c r="J37" s="86"/>
      <c r="K37" s="86"/>
    </row>
    <row r="38" spans="1:11" ht="15.75" customHeight="1" x14ac:dyDescent="0.25">
      <c r="A38" s="68"/>
      <c r="B38" s="30"/>
      <c r="C38" s="30"/>
      <c r="D38" s="30"/>
      <c r="E38" s="30"/>
      <c r="F38" s="30"/>
      <c r="G38" s="103"/>
      <c r="H38" s="104"/>
      <c r="I38" s="86"/>
      <c r="J38" s="86"/>
      <c r="K38" s="86"/>
    </row>
    <row r="39" spans="1:11" ht="15.75" customHeight="1" x14ac:dyDescent="0.25">
      <c r="A39" s="68"/>
      <c r="B39" s="30"/>
      <c r="C39" s="30"/>
      <c r="D39" s="30"/>
      <c r="E39" s="31"/>
      <c r="F39" s="30"/>
      <c r="G39" s="103"/>
      <c r="H39" s="104"/>
      <c r="I39" s="86"/>
      <c r="J39" s="86"/>
      <c r="K39" s="86"/>
    </row>
    <row r="40" spans="1:11" ht="15.75" customHeight="1" x14ac:dyDescent="0.25">
      <c r="A40" s="68"/>
      <c r="B40" s="30"/>
      <c r="C40" s="54"/>
      <c r="D40" s="2"/>
      <c r="E40" s="2"/>
      <c r="F40" s="2"/>
      <c r="G40" s="2"/>
      <c r="H40" s="103"/>
      <c r="I40" s="86"/>
      <c r="J40" s="86"/>
      <c r="K40" s="86"/>
    </row>
    <row r="41" spans="1:11" ht="15.75" customHeight="1" x14ac:dyDescent="0.25">
      <c r="A41" s="68"/>
      <c r="B41" s="30"/>
      <c r="C41" s="30"/>
      <c r="D41" s="30"/>
      <c r="E41" s="30"/>
      <c r="F41" s="30"/>
      <c r="G41" s="103"/>
      <c r="H41" s="103"/>
      <c r="I41" s="86"/>
      <c r="J41" s="86"/>
      <c r="K41" s="86"/>
    </row>
    <row r="42" spans="1:11" ht="15" customHeight="1" x14ac:dyDescent="0.3">
      <c r="B42" s="252">
        <f>D4</f>
        <v>266.7</v>
      </c>
      <c r="C42" s="251"/>
      <c r="D42" s="251"/>
      <c r="E42" s="251"/>
      <c r="F42" s="251"/>
    </row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5">
    <mergeCell ref="G37:H37"/>
    <mergeCell ref="B42:F42"/>
    <mergeCell ref="D10:F10"/>
    <mergeCell ref="D8:F8"/>
    <mergeCell ref="D9:F9"/>
    <mergeCell ref="D11:F11"/>
    <mergeCell ref="D16:F16"/>
    <mergeCell ref="D15:F15"/>
    <mergeCell ref="D14:F14"/>
    <mergeCell ref="A30:B30"/>
    <mergeCell ref="A26:A27"/>
    <mergeCell ref="A8:B8"/>
    <mergeCell ref="A9:A11"/>
    <mergeCell ref="D27:F27"/>
    <mergeCell ref="D28:F28"/>
    <mergeCell ref="I21:I23"/>
    <mergeCell ref="A21:A23"/>
    <mergeCell ref="D13:F13"/>
    <mergeCell ref="D12:F12"/>
    <mergeCell ref="A12:A16"/>
    <mergeCell ref="C30:H30"/>
    <mergeCell ref="F32:H32"/>
    <mergeCell ref="A32:E33"/>
    <mergeCell ref="C34:G34"/>
    <mergeCell ref="F33:H33"/>
    <mergeCell ref="C31:H31"/>
    <mergeCell ref="A31:B31"/>
    <mergeCell ref="D21:F21"/>
    <mergeCell ref="D26:F26"/>
    <mergeCell ref="D23:F23"/>
    <mergeCell ref="D22:F22"/>
    <mergeCell ref="D24:F24"/>
    <mergeCell ref="D25:F25"/>
    <mergeCell ref="A1:H1"/>
    <mergeCell ref="A2:H2"/>
    <mergeCell ref="E3:H3"/>
    <mergeCell ref="C6:H6"/>
    <mergeCell ref="I7:K7"/>
    <mergeCell ref="A5:B5"/>
    <mergeCell ref="A6:B6"/>
    <mergeCell ref="C7:H7"/>
    <mergeCell ref="A7:B7"/>
    <mergeCell ref="A3:C3"/>
    <mergeCell ref="A4:C4"/>
    <mergeCell ref="E5:H5"/>
    <mergeCell ref="E4:H4"/>
    <mergeCell ref="E17:F18"/>
    <mergeCell ref="G17:G18"/>
    <mergeCell ref="D20:F20"/>
    <mergeCell ref="H17:H18"/>
    <mergeCell ref="A17:A19"/>
    <mergeCell ref="D17:D18"/>
    <mergeCell ref="C17:C19"/>
    <mergeCell ref="E19:F19"/>
    <mergeCell ref="B17:B1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390625" defaultRowHeight="15" customHeight="1" x14ac:dyDescent="0.2"/>
  <cols>
    <col min="1" max="1" width="13.31640625" customWidth="1"/>
    <col min="2" max="2" width="16.6796875" customWidth="1"/>
    <col min="3" max="3" width="13.98828125" customWidth="1"/>
    <col min="4" max="4" width="15.46875" customWidth="1"/>
    <col min="5" max="5" width="8.609375" customWidth="1"/>
    <col min="6" max="6" width="2.5546875" customWidth="1"/>
    <col min="7" max="8" width="8.609375" customWidth="1"/>
    <col min="9" max="9" width="18.83203125" customWidth="1"/>
    <col min="10" max="10" width="20.58203125" customWidth="1"/>
    <col min="11" max="11" width="19.37109375" customWidth="1"/>
  </cols>
  <sheetData>
    <row r="1" spans="1:11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  <c r="I1" s="105" t="s">
        <v>1</v>
      </c>
      <c r="J1" s="69"/>
    </row>
    <row r="2" spans="1:11" ht="20.25" x14ac:dyDescent="0.25">
      <c r="A2" s="293" t="s">
        <v>124</v>
      </c>
      <c r="B2" s="238"/>
      <c r="C2" s="238"/>
      <c r="D2" s="238"/>
      <c r="E2" s="238"/>
      <c r="F2" s="238"/>
      <c r="G2" s="238"/>
      <c r="H2" s="236"/>
      <c r="I2" s="85"/>
      <c r="J2" s="69"/>
    </row>
    <row r="3" spans="1:11" ht="20.25" x14ac:dyDescent="0.25">
      <c r="A3" s="239" t="s">
        <v>3</v>
      </c>
      <c r="B3" s="238"/>
      <c r="C3" s="236"/>
      <c r="D3" s="35">
        <v>200</v>
      </c>
      <c r="E3" s="330" t="s">
        <v>4</v>
      </c>
      <c r="F3" s="238"/>
      <c r="G3" s="238"/>
      <c r="H3" s="236"/>
      <c r="I3" s="70" t="s">
        <v>5</v>
      </c>
      <c r="J3" s="69"/>
    </row>
    <row r="4" spans="1:11" ht="20.25" customHeight="1" x14ac:dyDescent="0.25">
      <c r="A4" s="278" t="s">
        <v>6</v>
      </c>
      <c r="B4" s="238"/>
      <c r="C4" s="236"/>
      <c r="D4" s="35">
        <v>300</v>
      </c>
      <c r="E4" s="330" t="s">
        <v>4</v>
      </c>
      <c r="F4" s="238"/>
      <c r="G4" s="238"/>
      <c r="H4" s="236"/>
      <c r="I4" s="70"/>
      <c r="J4" s="69"/>
    </row>
    <row r="5" spans="1:11" ht="20.25" customHeight="1" x14ac:dyDescent="0.25">
      <c r="A5" s="278" t="s">
        <v>7</v>
      </c>
      <c r="B5" s="238"/>
      <c r="C5" s="236"/>
      <c r="D5" s="90">
        <v>1</v>
      </c>
      <c r="E5" s="263"/>
      <c r="F5" s="238"/>
      <c r="G5" s="238"/>
      <c r="H5" s="236"/>
      <c r="I5" s="91"/>
      <c r="J5" s="69"/>
    </row>
    <row r="6" spans="1:11" ht="20.25" x14ac:dyDescent="0.25">
      <c r="A6" s="263" t="s">
        <v>72</v>
      </c>
      <c r="B6" s="236"/>
      <c r="C6" s="263"/>
      <c r="D6" s="238"/>
      <c r="E6" s="238"/>
      <c r="F6" s="238"/>
      <c r="G6" s="238"/>
      <c r="H6" s="236"/>
      <c r="J6" s="69"/>
    </row>
    <row r="7" spans="1:11" ht="21" x14ac:dyDescent="0.3">
      <c r="A7" s="263" t="s">
        <v>9</v>
      </c>
      <c r="B7" s="236"/>
      <c r="C7" s="263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4" x14ac:dyDescent="0.3">
      <c r="A8" s="278" t="s">
        <v>61</v>
      </c>
      <c r="B8" s="236"/>
      <c r="C8" s="58" t="s">
        <v>11</v>
      </c>
      <c r="D8" s="290" t="s">
        <v>12</v>
      </c>
      <c r="E8" s="238"/>
      <c r="F8" s="236"/>
      <c r="G8" s="106" t="s">
        <v>13</v>
      </c>
      <c r="H8" s="60" t="s">
        <v>125</v>
      </c>
      <c r="I8" s="39" t="s">
        <v>16</v>
      </c>
      <c r="J8" s="39" t="s">
        <v>17</v>
      </c>
      <c r="K8" s="39" t="s">
        <v>18</v>
      </c>
    </row>
    <row r="9" spans="1:11" x14ac:dyDescent="0.2">
      <c r="A9" s="276" t="s">
        <v>19</v>
      </c>
      <c r="B9" s="11" t="s">
        <v>20</v>
      </c>
      <c r="C9" s="11" t="s">
        <v>85</v>
      </c>
      <c r="D9" s="249">
        <f>D4</f>
        <v>300</v>
      </c>
      <c r="E9" s="238"/>
      <c r="F9" s="236"/>
      <c r="G9" s="11">
        <f>D5*1</f>
        <v>1</v>
      </c>
      <c r="H9" s="11">
        <v>90</v>
      </c>
      <c r="I9" s="11" t="s">
        <v>85</v>
      </c>
      <c r="J9" s="11" t="s">
        <v>86</v>
      </c>
      <c r="K9" s="41">
        <f>D9*D5</f>
        <v>300</v>
      </c>
    </row>
    <row r="10" spans="1:11" x14ac:dyDescent="0.2">
      <c r="A10" s="254"/>
      <c r="B10" s="11" t="s">
        <v>23</v>
      </c>
      <c r="C10" s="11" t="s">
        <v>87</v>
      </c>
      <c r="D10" s="249">
        <f>D4</f>
        <v>300</v>
      </c>
      <c r="E10" s="238"/>
      <c r="F10" s="236"/>
      <c r="G10" s="11">
        <f>D5*1</f>
        <v>1</v>
      </c>
      <c r="H10" s="11">
        <v>90</v>
      </c>
      <c r="I10" s="11" t="s">
        <v>87</v>
      </c>
      <c r="J10" s="11" t="s">
        <v>88</v>
      </c>
      <c r="K10" s="41">
        <f>D10*D5</f>
        <v>300</v>
      </c>
    </row>
    <row r="11" spans="1:11" x14ac:dyDescent="0.2">
      <c r="A11" s="255"/>
      <c r="B11" s="11" t="s">
        <v>26</v>
      </c>
      <c r="C11" s="11" t="s">
        <v>89</v>
      </c>
      <c r="D11" s="249">
        <f>D3-1.5</f>
        <v>198.5</v>
      </c>
      <c r="E11" s="238"/>
      <c r="F11" s="236"/>
      <c r="G11" s="11">
        <f>D5*2</f>
        <v>2</v>
      </c>
      <c r="H11" s="11">
        <v>90</v>
      </c>
      <c r="I11" s="11" t="s">
        <v>89</v>
      </c>
      <c r="J11" s="11" t="s">
        <v>90</v>
      </c>
      <c r="K11" s="41">
        <f>(D11*2)*D5</f>
        <v>397</v>
      </c>
    </row>
    <row r="12" spans="1:11" x14ac:dyDescent="0.2">
      <c r="A12" s="331" t="s">
        <v>66</v>
      </c>
      <c r="B12" s="11" t="s">
        <v>92</v>
      </c>
      <c r="C12" s="11" t="s">
        <v>93</v>
      </c>
      <c r="D12" s="249">
        <f>D3-0.3</f>
        <v>199.7</v>
      </c>
      <c r="E12" s="238"/>
      <c r="F12" s="236"/>
      <c r="G12" s="11">
        <f>D5*1</f>
        <v>1</v>
      </c>
      <c r="H12" s="11">
        <v>90</v>
      </c>
      <c r="I12" s="11" t="s">
        <v>93</v>
      </c>
      <c r="J12" s="11" t="s">
        <v>92</v>
      </c>
      <c r="K12" s="41">
        <f>(D12*4)*D5</f>
        <v>798.8</v>
      </c>
    </row>
    <row r="13" spans="1:11" x14ac:dyDescent="0.2">
      <c r="A13" s="254"/>
      <c r="B13" s="11" t="s">
        <v>94</v>
      </c>
      <c r="C13" s="11" t="s">
        <v>95</v>
      </c>
      <c r="D13" s="249">
        <f>D12</f>
        <v>199.7</v>
      </c>
      <c r="E13" s="238"/>
      <c r="F13" s="236"/>
      <c r="G13" s="11">
        <f>D5*1</f>
        <v>1</v>
      </c>
      <c r="H13" s="11">
        <v>90</v>
      </c>
      <c r="I13" s="11" t="s">
        <v>95</v>
      </c>
      <c r="J13" s="11" t="s">
        <v>94</v>
      </c>
      <c r="K13" s="41">
        <f>(D13*2)*D5</f>
        <v>399.4</v>
      </c>
    </row>
    <row r="14" spans="1:11" x14ac:dyDescent="0.2">
      <c r="A14" s="254"/>
      <c r="B14" s="11" t="s">
        <v>96</v>
      </c>
      <c r="C14" s="11" t="s">
        <v>97</v>
      </c>
      <c r="D14" s="249">
        <f>(D4+3)/3</f>
        <v>101</v>
      </c>
      <c r="E14" s="238"/>
      <c r="F14" s="236"/>
      <c r="G14" s="11">
        <f>D5*1</f>
        <v>1</v>
      </c>
      <c r="H14" s="11">
        <v>90</v>
      </c>
      <c r="I14" s="11" t="s">
        <v>97</v>
      </c>
      <c r="J14" s="11" t="s">
        <v>98</v>
      </c>
      <c r="K14" s="41">
        <f>(D14*3)*D5</f>
        <v>303</v>
      </c>
    </row>
    <row r="15" spans="1:11" x14ac:dyDescent="0.2">
      <c r="A15" s="255"/>
      <c r="B15" s="11" t="s">
        <v>99</v>
      </c>
      <c r="C15" s="11" t="s">
        <v>100</v>
      </c>
      <c r="D15" s="249">
        <f>D14</f>
        <v>101</v>
      </c>
      <c r="E15" s="238"/>
      <c r="F15" s="236"/>
      <c r="G15" s="11">
        <f>D5*1</f>
        <v>1</v>
      </c>
      <c r="H15" s="11">
        <v>90</v>
      </c>
      <c r="I15" s="11" t="s">
        <v>100</v>
      </c>
      <c r="J15" s="11" t="s">
        <v>101</v>
      </c>
      <c r="K15" s="12">
        <f>D15*3*D5</f>
        <v>303</v>
      </c>
    </row>
    <row r="16" spans="1:11" x14ac:dyDescent="0.2">
      <c r="A16" s="331" t="s">
        <v>126</v>
      </c>
      <c r="B16" s="11" t="s">
        <v>92</v>
      </c>
      <c r="C16" s="11" t="s">
        <v>93</v>
      </c>
      <c r="D16" s="249">
        <f>D3-2.5</f>
        <v>197.5</v>
      </c>
      <c r="E16" s="238"/>
      <c r="F16" s="236"/>
      <c r="G16" s="11">
        <f>D5*3</f>
        <v>3</v>
      </c>
      <c r="H16" s="11">
        <v>90</v>
      </c>
      <c r="I16" s="11" t="s">
        <v>116</v>
      </c>
      <c r="J16" s="11" t="s">
        <v>117</v>
      </c>
      <c r="K16" s="107">
        <f>D21*D5</f>
        <v>199.7</v>
      </c>
    </row>
    <row r="17" spans="1:11" x14ac:dyDescent="0.2">
      <c r="A17" s="254"/>
      <c r="B17" s="11" t="s">
        <v>94</v>
      </c>
      <c r="C17" s="11" t="s">
        <v>95</v>
      </c>
      <c r="D17" s="249">
        <f>D3-2.5</f>
        <v>197.5</v>
      </c>
      <c r="E17" s="238"/>
      <c r="F17" s="236"/>
      <c r="G17" s="11">
        <f>D5*1</f>
        <v>1</v>
      </c>
      <c r="H17" s="11">
        <v>90</v>
      </c>
      <c r="I17" s="108"/>
      <c r="J17" s="11" t="s">
        <v>127</v>
      </c>
      <c r="K17" s="12">
        <f>D20*D5</f>
        <v>101</v>
      </c>
    </row>
    <row r="18" spans="1:11" x14ac:dyDescent="0.15">
      <c r="A18" s="254"/>
      <c r="B18" s="11" t="s">
        <v>96</v>
      </c>
      <c r="C18" s="11" t="s">
        <v>97</v>
      </c>
      <c r="D18" s="249">
        <f>(D4+3)/3</f>
        <v>101</v>
      </c>
      <c r="E18" s="238"/>
      <c r="F18" s="236"/>
      <c r="G18" s="11">
        <f>D5*2</f>
        <v>2</v>
      </c>
      <c r="H18" s="11">
        <v>90</v>
      </c>
      <c r="I18" s="109"/>
      <c r="J18" s="69"/>
    </row>
    <row r="19" spans="1:11" x14ac:dyDescent="0.15">
      <c r="A19" s="254"/>
      <c r="B19" s="11" t="s">
        <v>99</v>
      </c>
      <c r="C19" s="11" t="s">
        <v>100</v>
      </c>
      <c r="D19" s="249">
        <f>D18</f>
        <v>101</v>
      </c>
      <c r="E19" s="238"/>
      <c r="F19" s="236"/>
      <c r="G19" s="11">
        <f>D5*2</f>
        <v>2</v>
      </c>
      <c r="H19" s="11">
        <v>90</v>
      </c>
      <c r="I19" s="109"/>
      <c r="J19" s="69"/>
    </row>
    <row r="20" spans="1:11" x14ac:dyDescent="0.15">
      <c r="A20" s="254"/>
      <c r="B20" s="11" t="s">
        <v>128</v>
      </c>
      <c r="C20" s="11"/>
      <c r="D20" s="249">
        <f>D15</f>
        <v>101</v>
      </c>
      <c r="E20" s="238"/>
      <c r="F20" s="236"/>
      <c r="G20" s="11">
        <f>D5*1</f>
        <v>1</v>
      </c>
      <c r="H20" s="11">
        <v>90</v>
      </c>
      <c r="I20" s="109"/>
      <c r="J20" s="69"/>
    </row>
    <row r="21" spans="1:11" ht="15.75" customHeight="1" x14ac:dyDescent="0.15">
      <c r="A21" s="255"/>
      <c r="B21" s="11" t="s">
        <v>129</v>
      </c>
      <c r="C21" s="11" t="s">
        <v>116</v>
      </c>
      <c r="D21" s="249">
        <f>D12</f>
        <v>199.7</v>
      </c>
      <c r="E21" s="238"/>
      <c r="F21" s="236"/>
      <c r="G21" s="11">
        <f>D5*1</f>
        <v>1</v>
      </c>
      <c r="H21" s="11">
        <v>90</v>
      </c>
      <c r="I21" s="109"/>
      <c r="J21" s="69"/>
    </row>
    <row r="22" spans="1:11" ht="15.75" customHeight="1" x14ac:dyDescent="0.15">
      <c r="A22" s="268" t="s">
        <v>39</v>
      </c>
      <c r="B22" s="260" t="s">
        <v>130</v>
      </c>
      <c r="C22" s="268"/>
      <c r="D22" s="292" t="s">
        <v>3</v>
      </c>
      <c r="E22" s="291" t="s">
        <v>41</v>
      </c>
      <c r="F22" s="242"/>
      <c r="G22" s="299"/>
      <c r="H22" s="299"/>
      <c r="I22" s="109"/>
      <c r="J22" s="69"/>
    </row>
    <row r="23" spans="1:11" ht="15.75" customHeight="1" x14ac:dyDescent="0.15">
      <c r="A23" s="254"/>
      <c r="B23" s="255"/>
      <c r="C23" s="255"/>
      <c r="D23" s="255"/>
      <c r="E23" s="243"/>
      <c r="F23" s="245"/>
      <c r="G23" s="255"/>
      <c r="H23" s="254"/>
      <c r="I23" s="109"/>
      <c r="J23" s="69"/>
    </row>
    <row r="24" spans="1:11" ht="15.75" customHeight="1" x14ac:dyDescent="0.15">
      <c r="A24" s="254"/>
      <c r="B24" s="110" t="s">
        <v>131</v>
      </c>
      <c r="C24" s="111"/>
      <c r="D24" s="17">
        <f>D12-7</f>
        <v>192.7</v>
      </c>
      <c r="E24" s="235">
        <f>D14-5.5</f>
        <v>95.5</v>
      </c>
      <c r="F24" s="236"/>
      <c r="G24" s="16">
        <f>D5*1</f>
        <v>1</v>
      </c>
      <c r="H24" s="254"/>
      <c r="I24" s="332"/>
      <c r="J24" s="69"/>
    </row>
    <row r="25" spans="1:11" ht="15.75" customHeight="1" x14ac:dyDescent="0.15">
      <c r="A25" s="254"/>
      <c r="B25" s="110" t="s">
        <v>132</v>
      </c>
      <c r="C25" s="110"/>
      <c r="D25" s="17">
        <f>D16-7</f>
        <v>190.5</v>
      </c>
      <c r="E25" s="235">
        <f>D18-4.6</f>
        <v>96.4</v>
      </c>
      <c r="F25" s="236"/>
      <c r="G25" s="16">
        <f>D5*1</f>
        <v>1</v>
      </c>
      <c r="H25" s="254"/>
      <c r="I25" s="251"/>
      <c r="J25" s="69"/>
    </row>
    <row r="26" spans="1:11" ht="15.75" customHeight="1" x14ac:dyDescent="0.15">
      <c r="A26" s="255"/>
      <c r="B26" s="110" t="s">
        <v>133</v>
      </c>
      <c r="C26" s="110"/>
      <c r="D26" s="17">
        <f>D16-7</f>
        <v>190.5</v>
      </c>
      <c r="E26" s="235">
        <f>D18-5.5</f>
        <v>95.5</v>
      </c>
      <c r="F26" s="236"/>
      <c r="G26" s="16">
        <f>D5*1</f>
        <v>1</v>
      </c>
      <c r="H26" s="255"/>
      <c r="I26" s="251"/>
      <c r="J26" s="69"/>
    </row>
    <row r="27" spans="1:11" ht="15.75" customHeight="1" x14ac:dyDescent="0.15">
      <c r="A27" s="11" t="s">
        <v>42</v>
      </c>
      <c r="B27" s="11">
        <v>744</v>
      </c>
      <c r="C27" s="11"/>
      <c r="D27" s="249"/>
      <c r="E27" s="238"/>
      <c r="F27" s="236"/>
      <c r="G27" s="11">
        <f>(D24*6)+(E24*6)*D5</f>
        <v>1729.1999999999998</v>
      </c>
      <c r="H27" s="11" t="s">
        <v>43</v>
      </c>
      <c r="I27" s="109"/>
      <c r="J27" s="69"/>
    </row>
    <row r="28" spans="1:11" ht="15.75" customHeight="1" x14ac:dyDescent="0.15">
      <c r="A28" s="331" t="s">
        <v>44</v>
      </c>
      <c r="B28" s="11" t="s">
        <v>45</v>
      </c>
      <c r="C28" s="11"/>
      <c r="D28" s="246"/>
      <c r="E28" s="238"/>
      <c r="F28" s="236"/>
      <c r="G28" s="11">
        <f>D5*16</f>
        <v>16</v>
      </c>
      <c r="H28" s="11"/>
      <c r="I28" s="332"/>
      <c r="J28" s="69"/>
    </row>
    <row r="29" spans="1:11" ht="15.75" customHeight="1" x14ac:dyDescent="0.15">
      <c r="A29" s="254"/>
      <c r="B29" s="11" t="s">
        <v>119</v>
      </c>
      <c r="C29" s="11"/>
      <c r="D29" s="246"/>
      <c r="E29" s="238"/>
      <c r="F29" s="236"/>
      <c r="G29" s="11">
        <f>D5*10</f>
        <v>10</v>
      </c>
      <c r="H29" s="11"/>
      <c r="I29" s="251"/>
      <c r="J29" s="69"/>
    </row>
    <row r="30" spans="1:11" ht="15.75" customHeight="1" x14ac:dyDescent="0.15">
      <c r="A30" s="255"/>
      <c r="B30" s="11" t="s">
        <v>105</v>
      </c>
      <c r="C30" s="11"/>
      <c r="D30" s="246"/>
      <c r="E30" s="238"/>
      <c r="F30" s="236"/>
      <c r="G30" s="11">
        <f>D5*6</f>
        <v>6</v>
      </c>
      <c r="H30" s="11"/>
      <c r="I30" s="251"/>
      <c r="J30" s="69"/>
    </row>
    <row r="31" spans="1:11" ht="15.75" customHeight="1" x14ac:dyDescent="0.15">
      <c r="A31" s="11" t="s">
        <v>70</v>
      </c>
      <c r="B31" s="11" t="s">
        <v>106</v>
      </c>
      <c r="C31" s="11"/>
      <c r="D31" s="246"/>
      <c r="E31" s="238"/>
      <c r="F31" s="236"/>
      <c r="G31" s="11">
        <f>D5*10</f>
        <v>10</v>
      </c>
      <c r="H31" s="11"/>
      <c r="I31" s="109"/>
      <c r="J31" s="69"/>
    </row>
    <row r="32" spans="1:11" ht="15.75" customHeight="1" x14ac:dyDescent="0.15">
      <c r="A32" s="13" t="s">
        <v>80</v>
      </c>
      <c r="B32" s="11" t="s">
        <v>107</v>
      </c>
      <c r="C32" s="11"/>
      <c r="D32" s="246"/>
      <c r="E32" s="238"/>
      <c r="F32" s="236"/>
      <c r="G32" s="11">
        <f>D5*4</f>
        <v>4</v>
      </c>
      <c r="H32" s="11"/>
      <c r="I32" s="109"/>
      <c r="J32" s="69"/>
    </row>
    <row r="33" spans="1:10" ht="15.75" customHeight="1" x14ac:dyDescent="0.15">
      <c r="A33" s="331" t="s">
        <v>53</v>
      </c>
      <c r="B33" s="11" t="s">
        <v>108</v>
      </c>
      <c r="C33" s="11"/>
      <c r="D33" s="246"/>
      <c r="E33" s="238"/>
      <c r="F33" s="236"/>
      <c r="G33" s="11">
        <f>D5*4</f>
        <v>4</v>
      </c>
      <c r="H33" s="11"/>
      <c r="I33" s="332"/>
      <c r="J33" s="69"/>
    </row>
    <row r="34" spans="1:10" ht="15.75" customHeight="1" x14ac:dyDescent="0.15">
      <c r="A34" s="255"/>
      <c r="B34" s="11" t="s">
        <v>109</v>
      </c>
      <c r="C34" s="11"/>
      <c r="D34" s="246"/>
      <c r="E34" s="238"/>
      <c r="F34" s="236"/>
      <c r="G34" s="11">
        <f>D5*4</f>
        <v>4</v>
      </c>
      <c r="H34" s="11"/>
      <c r="I34" s="251"/>
      <c r="J34" s="69"/>
    </row>
    <row r="35" spans="1:10" ht="15.75" customHeight="1" x14ac:dyDescent="0.15">
      <c r="A35" s="11" t="s">
        <v>54</v>
      </c>
      <c r="B35" s="11" t="s">
        <v>110</v>
      </c>
      <c r="C35" s="11"/>
      <c r="D35" s="246"/>
      <c r="E35" s="238"/>
      <c r="F35" s="236"/>
      <c r="G35" s="11">
        <f>D5*1</f>
        <v>1</v>
      </c>
      <c r="H35" s="11"/>
      <c r="I35" s="109"/>
      <c r="J35" s="69"/>
    </row>
    <row r="36" spans="1:10" ht="15.75" customHeight="1" x14ac:dyDescent="0.2">
      <c r="A36" s="239" t="s">
        <v>56</v>
      </c>
      <c r="B36" s="236"/>
      <c r="C36" s="239"/>
      <c r="D36" s="238"/>
      <c r="E36" s="238"/>
      <c r="F36" s="238"/>
      <c r="G36" s="238"/>
      <c r="H36" s="236"/>
      <c r="I36" s="109"/>
      <c r="J36" s="69"/>
    </row>
    <row r="37" spans="1:10" ht="15.75" customHeight="1" x14ac:dyDescent="0.2">
      <c r="A37" s="239" t="s">
        <v>57</v>
      </c>
      <c r="B37" s="236"/>
      <c r="C37" s="239"/>
      <c r="D37" s="238"/>
      <c r="E37" s="238"/>
      <c r="F37" s="238"/>
      <c r="G37" s="238"/>
      <c r="H37" s="236"/>
      <c r="I37" s="109"/>
      <c r="J37" s="69"/>
    </row>
    <row r="38" spans="1:10" ht="18" customHeight="1" x14ac:dyDescent="0.15">
      <c r="A38" s="240" t="s">
        <v>58</v>
      </c>
      <c r="B38" s="241"/>
      <c r="C38" s="241"/>
      <c r="D38" s="241"/>
      <c r="E38" s="242"/>
      <c r="F38" s="240" t="s">
        <v>59</v>
      </c>
      <c r="G38" s="241"/>
      <c r="H38" s="242"/>
      <c r="I38" s="109"/>
      <c r="J38" s="69"/>
    </row>
    <row r="39" spans="1:10" ht="18" customHeight="1" x14ac:dyDescent="0.15">
      <c r="A39" s="243"/>
      <c r="B39" s="244"/>
      <c r="C39" s="244"/>
      <c r="D39" s="244"/>
      <c r="E39" s="245"/>
      <c r="F39" s="243"/>
      <c r="G39" s="244"/>
      <c r="H39" s="245"/>
      <c r="I39" s="109"/>
      <c r="J39" s="69"/>
    </row>
    <row r="40" spans="1:10" ht="15.75" customHeight="1" x14ac:dyDescent="0.25">
      <c r="A40" s="79"/>
      <c r="B40" s="80"/>
      <c r="C40" s="333"/>
      <c r="D40" s="251"/>
      <c r="E40" s="251"/>
      <c r="F40" s="251"/>
      <c r="G40" s="69"/>
      <c r="H40" s="80"/>
      <c r="I40" s="69"/>
      <c r="J40" s="69"/>
    </row>
    <row r="41" spans="1:10" ht="15.75" customHeight="1" x14ac:dyDescent="0.25">
      <c r="A41" s="79"/>
      <c r="B41" s="80"/>
      <c r="C41" s="69"/>
      <c r="D41" s="69"/>
      <c r="E41" s="69"/>
      <c r="F41" s="69"/>
      <c r="G41" s="69"/>
      <c r="H41" s="80"/>
      <c r="I41" s="69"/>
      <c r="J41" s="69"/>
    </row>
    <row r="42" spans="1:10" ht="15.75" customHeight="1" x14ac:dyDescent="0.25">
      <c r="A42" s="79"/>
      <c r="B42" s="80"/>
      <c r="C42" s="69"/>
      <c r="D42" s="69"/>
      <c r="E42" s="69"/>
      <c r="F42" s="69"/>
      <c r="G42" s="69"/>
      <c r="H42" s="80"/>
      <c r="I42" s="69"/>
      <c r="J42" s="69"/>
    </row>
    <row r="43" spans="1:10" ht="15.75" customHeight="1" x14ac:dyDescent="0.25">
      <c r="A43" s="79"/>
      <c r="B43" s="80"/>
      <c r="C43" s="69"/>
      <c r="D43" s="69"/>
      <c r="E43" s="69"/>
      <c r="F43" s="69"/>
      <c r="G43" s="81"/>
      <c r="H43" s="80"/>
      <c r="I43" s="69"/>
      <c r="J43" s="69"/>
    </row>
    <row r="44" spans="1:10" ht="15.75" customHeight="1" x14ac:dyDescent="0.25">
      <c r="A44" s="79"/>
      <c r="B44" s="80"/>
      <c r="C44" s="69"/>
      <c r="D44" s="69"/>
      <c r="E44" s="69"/>
      <c r="F44" s="297">
        <f>D3</f>
        <v>200</v>
      </c>
      <c r="G44" s="251"/>
      <c r="H44" s="80"/>
      <c r="I44" s="69"/>
      <c r="J44" s="69"/>
    </row>
    <row r="45" spans="1:10" ht="15.75" customHeight="1" x14ac:dyDescent="0.25">
      <c r="A45" s="79"/>
      <c r="B45" s="80"/>
      <c r="C45" s="69"/>
      <c r="D45" s="69"/>
      <c r="E45" s="69"/>
      <c r="F45" s="69"/>
      <c r="G45" s="69"/>
      <c r="H45" s="80"/>
      <c r="I45" s="69"/>
      <c r="J45" s="69"/>
    </row>
    <row r="46" spans="1:10" ht="15.75" customHeight="1" x14ac:dyDescent="0.25">
      <c r="A46" s="79"/>
      <c r="B46" s="80"/>
      <c r="C46" s="333"/>
      <c r="D46" s="251"/>
      <c r="E46" s="251"/>
      <c r="F46" s="251"/>
      <c r="G46" s="69"/>
      <c r="H46" s="80"/>
      <c r="I46" s="69"/>
      <c r="J46" s="69"/>
    </row>
    <row r="47" spans="1:10" ht="15.75" customHeight="1" x14ac:dyDescent="0.25">
      <c r="A47" s="79"/>
      <c r="B47" s="80"/>
      <c r="C47" s="80"/>
      <c r="D47" s="80"/>
      <c r="E47" s="69"/>
      <c r="F47" s="69"/>
      <c r="G47" s="69"/>
      <c r="H47" s="80"/>
      <c r="I47" s="69"/>
      <c r="J47" s="69"/>
    </row>
    <row r="48" spans="1:10" ht="15.75" customHeight="1" x14ac:dyDescent="0.2"/>
    <row r="49" spans="2:5" ht="15.75" customHeight="1" x14ac:dyDescent="0.2"/>
    <row r="50" spans="2:5" ht="15.75" customHeight="1" x14ac:dyDescent="0.2"/>
    <row r="51" spans="2:5" ht="15.75" customHeight="1" x14ac:dyDescent="0.3">
      <c r="B51" s="252">
        <f>D4</f>
        <v>300</v>
      </c>
      <c r="C51" s="251"/>
      <c r="D51" s="251"/>
      <c r="E51" s="251"/>
    </row>
    <row r="52" spans="2:5" ht="15.75" customHeight="1" x14ac:dyDescent="0.2"/>
    <row r="53" spans="2:5" ht="15.75" customHeight="1" x14ac:dyDescent="0.2"/>
    <row r="54" spans="2:5" ht="15.75" customHeight="1" x14ac:dyDescent="0.2"/>
    <row r="55" spans="2:5" ht="15.75" customHeight="1" x14ac:dyDescent="0.2"/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65">
    <mergeCell ref="A22:A26"/>
    <mergeCell ref="A33:A34"/>
    <mergeCell ref="D33:F33"/>
    <mergeCell ref="D32:F32"/>
    <mergeCell ref="D30:F30"/>
    <mergeCell ref="A28:A30"/>
    <mergeCell ref="D35:F35"/>
    <mergeCell ref="C36:H36"/>
    <mergeCell ref="C37:H37"/>
    <mergeCell ref="F38:H39"/>
    <mergeCell ref="A36:B36"/>
    <mergeCell ref="A37:B37"/>
    <mergeCell ref="C46:F46"/>
    <mergeCell ref="F44:G44"/>
    <mergeCell ref="B51:E51"/>
    <mergeCell ref="A38:E39"/>
    <mergeCell ref="C40:F40"/>
    <mergeCell ref="B22:B23"/>
    <mergeCell ref="D21:F21"/>
    <mergeCell ref="G22:G23"/>
    <mergeCell ref="H22:H26"/>
    <mergeCell ref="I33:I34"/>
    <mergeCell ref="E25:F25"/>
    <mergeCell ref="E26:F26"/>
    <mergeCell ref="D31:F31"/>
    <mergeCell ref="I28:I30"/>
    <mergeCell ref="I24:I26"/>
    <mergeCell ref="D34:F34"/>
    <mergeCell ref="E22:F23"/>
    <mergeCell ref="E24:F24"/>
    <mergeCell ref="D29:F29"/>
    <mergeCell ref="D27:F27"/>
    <mergeCell ref="D28:F28"/>
    <mergeCell ref="D22:D23"/>
    <mergeCell ref="C22:C23"/>
    <mergeCell ref="A9:A11"/>
    <mergeCell ref="A12:A15"/>
    <mergeCell ref="A16:A21"/>
    <mergeCell ref="E5:H5"/>
    <mergeCell ref="D13:F13"/>
    <mergeCell ref="D17:F17"/>
    <mergeCell ref="A5:C5"/>
    <mergeCell ref="E4:H4"/>
    <mergeCell ref="E3:H3"/>
    <mergeCell ref="A1:H1"/>
    <mergeCell ref="A2:H2"/>
    <mergeCell ref="A3:C3"/>
    <mergeCell ref="A4:C4"/>
    <mergeCell ref="D9:F9"/>
    <mergeCell ref="D12:F12"/>
    <mergeCell ref="D10:F10"/>
    <mergeCell ref="D11:F11"/>
    <mergeCell ref="D20:F20"/>
    <mergeCell ref="D18:F18"/>
    <mergeCell ref="D19:F19"/>
    <mergeCell ref="D14:F14"/>
    <mergeCell ref="D16:F16"/>
    <mergeCell ref="D15:F15"/>
    <mergeCell ref="A6:B6"/>
    <mergeCell ref="C6:H6"/>
    <mergeCell ref="I7:K7"/>
    <mergeCell ref="C7:H7"/>
    <mergeCell ref="A8:B8"/>
    <mergeCell ref="D8:F8"/>
    <mergeCell ref="A7:B7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4.390625" defaultRowHeight="15" customHeight="1" x14ac:dyDescent="0.2"/>
  <cols>
    <col min="1" max="1" width="18.83203125" customWidth="1"/>
    <col min="2" max="2" width="18.4296875" customWidth="1"/>
    <col min="3" max="3" width="8.609375" customWidth="1"/>
    <col min="4" max="4" width="16.27734375" customWidth="1"/>
    <col min="5" max="5" width="8.609375" customWidth="1"/>
    <col min="6" max="6" width="6.3203125" customWidth="1"/>
    <col min="7" max="8" width="8.609375" customWidth="1"/>
    <col min="9" max="9" width="18.16015625" customWidth="1"/>
    <col min="10" max="10" width="19.50390625" customWidth="1"/>
    <col min="11" max="11" width="14.52734375" customWidth="1"/>
  </cols>
  <sheetData>
    <row r="1" spans="1:11" ht="22.5" x14ac:dyDescent="0.25">
      <c r="A1" s="313" t="s">
        <v>0</v>
      </c>
      <c r="B1" s="314"/>
      <c r="C1" s="314"/>
      <c r="D1" s="314"/>
      <c r="E1" s="314"/>
      <c r="F1" s="314"/>
      <c r="G1" s="314"/>
      <c r="H1" s="315"/>
      <c r="I1" s="85" t="s">
        <v>1</v>
      </c>
      <c r="J1" s="86"/>
      <c r="K1" s="86"/>
    </row>
    <row r="2" spans="1:11" ht="22.5" x14ac:dyDescent="0.25">
      <c r="A2" s="316" t="s">
        <v>134</v>
      </c>
      <c r="B2" s="238"/>
      <c r="C2" s="238"/>
      <c r="D2" s="238"/>
      <c r="E2" s="238"/>
      <c r="F2" s="238"/>
      <c r="G2" s="238"/>
      <c r="H2" s="236"/>
      <c r="I2" s="113"/>
      <c r="J2" s="86"/>
      <c r="K2" s="86"/>
    </row>
    <row r="3" spans="1:11" ht="20.25" x14ac:dyDescent="0.25">
      <c r="A3" s="309" t="s">
        <v>3</v>
      </c>
      <c r="B3" s="238"/>
      <c r="C3" s="236"/>
      <c r="D3" s="35">
        <v>200</v>
      </c>
      <c r="E3" s="312" t="s">
        <v>112</v>
      </c>
      <c r="F3" s="238"/>
      <c r="G3" s="238"/>
      <c r="H3" s="236"/>
      <c r="I3" s="87" t="s">
        <v>5</v>
      </c>
      <c r="J3" s="88"/>
      <c r="K3" s="88"/>
    </row>
    <row r="4" spans="1:11" ht="18" customHeight="1" x14ac:dyDescent="0.25">
      <c r="A4" s="310" t="s">
        <v>6</v>
      </c>
      <c r="B4" s="238"/>
      <c r="C4" s="236"/>
      <c r="D4" s="35">
        <v>300</v>
      </c>
      <c r="E4" s="312" t="s">
        <v>112</v>
      </c>
      <c r="F4" s="238"/>
      <c r="G4" s="238"/>
      <c r="H4" s="236"/>
      <c r="I4" s="70"/>
      <c r="J4" s="88"/>
      <c r="K4" s="88"/>
    </row>
    <row r="5" spans="1:11" ht="18" customHeight="1" x14ac:dyDescent="0.25">
      <c r="A5" s="310" t="s">
        <v>7</v>
      </c>
      <c r="B5" s="238"/>
      <c r="C5" s="236"/>
      <c r="D5" s="90">
        <v>1</v>
      </c>
      <c r="E5" s="311"/>
      <c r="F5" s="238"/>
      <c r="G5" s="238"/>
      <c r="H5" s="236"/>
      <c r="I5" s="91"/>
      <c r="J5" s="88"/>
      <c r="K5" s="88"/>
    </row>
    <row r="6" spans="1:11" ht="20.25" x14ac:dyDescent="0.25">
      <c r="A6" s="308" t="s">
        <v>72</v>
      </c>
      <c r="B6" s="236"/>
      <c r="C6" s="307"/>
      <c r="D6" s="238"/>
      <c r="E6" s="238"/>
      <c r="F6" s="238"/>
      <c r="G6" s="238"/>
      <c r="H6" s="236"/>
      <c r="J6" s="88"/>
      <c r="K6" s="88"/>
    </row>
    <row r="7" spans="1:11" ht="21" x14ac:dyDescent="0.3">
      <c r="A7" s="308" t="s">
        <v>9</v>
      </c>
      <c r="B7" s="236"/>
      <c r="C7" s="307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41.25" x14ac:dyDescent="0.3">
      <c r="A8" s="310" t="s">
        <v>61</v>
      </c>
      <c r="B8" s="236"/>
      <c r="C8" s="92" t="s">
        <v>11</v>
      </c>
      <c r="D8" s="327" t="s">
        <v>12</v>
      </c>
      <c r="E8" s="238"/>
      <c r="F8" s="236"/>
      <c r="G8" s="93" t="s">
        <v>113</v>
      </c>
      <c r="H8" s="94" t="s">
        <v>84</v>
      </c>
      <c r="I8" s="39" t="s">
        <v>16</v>
      </c>
      <c r="J8" s="39" t="s">
        <v>17</v>
      </c>
      <c r="K8" s="39" t="s">
        <v>18</v>
      </c>
    </row>
    <row r="9" spans="1:11" x14ac:dyDescent="0.2">
      <c r="A9" s="328" t="s">
        <v>19</v>
      </c>
      <c r="B9" s="95" t="s">
        <v>20</v>
      </c>
      <c r="C9" s="95" t="s">
        <v>85</v>
      </c>
      <c r="D9" s="326">
        <f>D4</f>
        <v>300</v>
      </c>
      <c r="E9" s="238"/>
      <c r="F9" s="236"/>
      <c r="G9" s="95">
        <f>D5*1</f>
        <v>1</v>
      </c>
      <c r="H9" s="95">
        <v>90</v>
      </c>
      <c r="I9" s="11" t="s">
        <v>85</v>
      </c>
      <c r="J9" s="11" t="s">
        <v>135</v>
      </c>
      <c r="K9" s="41">
        <f>D9*D5</f>
        <v>300</v>
      </c>
    </row>
    <row r="10" spans="1:11" x14ac:dyDescent="0.2">
      <c r="A10" s="304"/>
      <c r="B10" s="95" t="s">
        <v>23</v>
      </c>
      <c r="C10" s="95" t="s">
        <v>87</v>
      </c>
      <c r="D10" s="326">
        <f>D4</f>
        <v>300</v>
      </c>
      <c r="E10" s="238"/>
      <c r="F10" s="236"/>
      <c r="G10" s="95">
        <f>D5*1</f>
        <v>1</v>
      </c>
      <c r="H10" s="95">
        <v>90</v>
      </c>
      <c r="I10" s="11" t="s">
        <v>87</v>
      </c>
      <c r="J10" s="11" t="s">
        <v>136</v>
      </c>
      <c r="K10" s="41">
        <f>D10*D5</f>
        <v>300</v>
      </c>
    </row>
    <row r="11" spans="1:11" x14ac:dyDescent="0.2">
      <c r="A11" s="305"/>
      <c r="B11" s="95" t="s">
        <v>26</v>
      </c>
      <c r="C11" s="95" t="s">
        <v>89</v>
      </c>
      <c r="D11" s="326">
        <f>D3-1</f>
        <v>199</v>
      </c>
      <c r="E11" s="238"/>
      <c r="F11" s="236"/>
      <c r="G11" s="95">
        <f>D5*2</f>
        <v>2</v>
      </c>
      <c r="H11" s="95">
        <v>90</v>
      </c>
      <c r="I11" s="11" t="s">
        <v>89</v>
      </c>
      <c r="J11" s="11" t="s">
        <v>137</v>
      </c>
      <c r="K11" s="41">
        <f>(D11*2)*D5</f>
        <v>398</v>
      </c>
    </row>
    <row r="12" spans="1:11" x14ac:dyDescent="0.2">
      <c r="A12" s="325" t="s">
        <v>29</v>
      </c>
      <c r="B12" s="95" t="s">
        <v>138</v>
      </c>
      <c r="C12" s="95" t="s">
        <v>93</v>
      </c>
      <c r="D12" s="326">
        <f>D3-2</f>
        <v>198</v>
      </c>
      <c r="E12" s="238"/>
      <c r="F12" s="236"/>
      <c r="G12" s="95">
        <f>D5*4</f>
        <v>4</v>
      </c>
      <c r="H12" s="95">
        <v>90</v>
      </c>
      <c r="I12" s="11" t="s">
        <v>93</v>
      </c>
      <c r="J12" s="11" t="s">
        <v>138</v>
      </c>
      <c r="K12" s="41">
        <f>(D12*4)*D5</f>
        <v>792</v>
      </c>
    </row>
    <row r="13" spans="1:11" x14ac:dyDescent="0.2">
      <c r="A13" s="304"/>
      <c r="B13" s="95" t="s">
        <v>139</v>
      </c>
      <c r="C13" s="95" t="s">
        <v>95</v>
      </c>
      <c r="D13" s="326">
        <f>D3-2</f>
        <v>198</v>
      </c>
      <c r="E13" s="238"/>
      <c r="F13" s="236"/>
      <c r="G13" s="95">
        <f>D5*4</f>
        <v>4</v>
      </c>
      <c r="H13" s="95">
        <v>90</v>
      </c>
      <c r="I13" s="11" t="s">
        <v>95</v>
      </c>
      <c r="J13" s="11" t="s">
        <v>139</v>
      </c>
      <c r="K13" s="41">
        <f>(D13*4)*D5</f>
        <v>792</v>
      </c>
    </row>
    <row r="14" spans="1:11" x14ac:dyDescent="0.2">
      <c r="A14" s="304"/>
      <c r="B14" s="95" t="s">
        <v>140</v>
      </c>
      <c r="C14" s="95" t="s">
        <v>115</v>
      </c>
      <c r="D14" s="326">
        <f>D3-2</f>
        <v>198</v>
      </c>
      <c r="E14" s="238"/>
      <c r="F14" s="236"/>
      <c r="G14" s="95">
        <f>D5*1</f>
        <v>1</v>
      </c>
      <c r="H14" s="95">
        <v>90</v>
      </c>
      <c r="I14" s="11" t="s">
        <v>97</v>
      </c>
      <c r="J14" s="11" t="s">
        <v>96</v>
      </c>
      <c r="K14" s="41">
        <f>(D15*4)*D5</f>
        <v>301.3</v>
      </c>
    </row>
    <row r="15" spans="1:11" x14ac:dyDescent="0.15">
      <c r="A15" s="304"/>
      <c r="B15" s="95" t="s">
        <v>96</v>
      </c>
      <c r="C15" s="95" t="s">
        <v>97</v>
      </c>
      <c r="D15" s="326">
        <f>(D4+1.3)/4</f>
        <v>75.325000000000003</v>
      </c>
      <c r="E15" s="238"/>
      <c r="F15" s="236"/>
      <c r="G15" s="95">
        <f>D5*4</f>
        <v>4</v>
      </c>
      <c r="H15" s="95">
        <v>90</v>
      </c>
      <c r="I15" s="11" t="s">
        <v>100</v>
      </c>
      <c r="J15" s="11" t="s">
        <v>99</v>
      </c>
      <c r="K15" s="73">
        <f>D16*4*D5</f>
        <v>301.3</v>
      </c>
    </row>
    <row r="16" spans="1:11" x14ac:dyDescent="0.15">
      <c r="A16" s="305"/>
      <c r="B16" s="95" t="s">
        <v>99</v>
      </c>
      <c r="C16" s="95" t="s">
        <v>100</v>
      </c>
      <c r="D16" s="326">
        <f>(D4+1.3)/4</f>
        <v>75.325000000000003</v>
      </c>
      <c r="E16" s="238"/>
      <c r="F16" s="236"/>
      <c r="G16" s="95">
        <f>D5*4</f>
        <v>4</v>
      </c>
      <c r="H16" s="95">
        <v>90</v>
      </c>
      <c r="I16" s="11" t="s">
        <v>116</v>
      </c>
      <c r="J16" s="11" t="s">
        <v>129</v>
      </c>
      <c r="K16" s="96">
        <f>D14*D5</f>
        <v>198</v>
      </c>
    </row>
    <row r="17" spans="1:11" ht="15" customHeight="1" x14ac:dyDescent="0.15">
      <c r="A17" s="303" t="s">
        <v>39</v>
      </c>
      <c r="B17" s="260" t="s">
        <v>141</v>
      </c>
      <c r="C17" s="268"/>
      <c r="D17" s="334" t="s">
        <v>3</v>
      </c>
      <c r="E17" s="336" t="s">
        <v>41</v>
      </c>
      <c r="F17" s="242"/>
      <c r="G17" s="299"/>
      <c r="H17" s="299"/>
      <c r="I17" s="97"/>
      <c r="J17" s="86"/>
      <c r="K17" s="86"/>
    </row>
    <row r="18" spans="1:11" ht="15" customHeight="1" x14ac:dyDescent="0.15">
      <c r="A18" s="304"/>
      <c r="B18" s="254"/>
      <c r="C18" s="254"/>
      <c r="D18" s="255"/>
      <c r="E18" s="243"/>
      <c r="F18" s="245"/>
      <c r="G18" s="255"/>
      <c r="H18" s="254"/>
      <c r="I18" s="97"/>
      <c r="J18" s="86"/>
      <c r="K18" s="86"/>
    </row>
    <row r="19" spans="1:11" x14ac:dyDescent="0.15">
      <c r="A19" s="305"/>
      <c r="B19" s="255"/>
      <c r="C19" s="255"/>
      <c r="D19" s="17">
        <f>D3-10.2</f>
        <v>189.8</v>
      </c>
      <c r="E19" s="235">
        <f>D15-5.3</f>
        <v>70.025000000000006</v>
      </c>
      <c r="F19" s="236"/>
      <c r="G19" s="16">
        <f>D5*4</f>
        <v>4</v>
      </c>
      <c r="H19" s="255"/>
      <c r="I19" s="97"/>
      <c r="J19" s="86"/>
      <c r="K19" s="86"/>
    </row>
    <row r="20" spans="1:11" x14ac:dyDescent="0.15">
      <c r="A20" s="98" t="s">
        <v>42</v>
      </c>
      <c r="B20" s="95">
        <v>8025</v>
      </c>
      <c r="C20" s="95"/>
      <c r="D20" s="302"/>
      <c r="E20" s="238"/>
      <c r="F20" s="236"/>
      <c r="G20" s="95">
        <f>(D19*8)+(E19*8)*D5</f>
        <v>2078.6000000000004</v>
      </c>
      <c r="H20" s="95" t="s">
        <v>43</v>
      </c>
      <c r="I20" s="97"/>
      <c r="J20" s="86"/>
      <c r="K20" s="86"/>
    </row>
    <row r="21" spans="1:11" ht="15.75" customHeight="1" x14ac:dyDescent="0.15">
      <c r="A21" s="325" t="s">
        <v>44</v>
      </c>
      <c r="B21" s="95" t="s">
        <v>45</v>
      </c>
      <c r="C21" s="95"/>
      <c r="D21" s="317"/>
      <c r="E21" s="238"/>
      <c r="F21" s="236"/>
      <c r="G21" s="95">
        <f>D5*36</f>
        <v>36</v>
      </c>
      <c r="H21" s="95"/>
      <c r="I21" s="323"/>
      <c r="J21" s="86"/>
      <c r="K21" s="86"/>
    </row>
    <row r="22" spans="1:11" ht="15.75" customHeight="1" x14ac:dyDescent="0.15">
      <c r="A22" s="304"/>
      <c r="B22" s="95" t="s">
        <v>119</v>
      </c>
      <c r="C22" s="95"/>
      <c r="D22" s="317"/>
      <c r="E22" s="238"/>
      <c r="F22" s="236"/>
      <c r="G22" s="95">
        <f>D5*10</f>
        <v>10</v>
      </c>
      <c r="H22" s="95"/>
      <c r="I22" s="324"/>
      <c r="J22" s="86"/>
      <c r="K22" s="86"/>
    </row>
    <row r="23" spans="1:11" ht="15.75" customHeight="1" x14ac:dyDescent="0.15">
      <c r="A23" s="305"/>
      <c r="B23" s="95" t="s">
        <v>105</v>
      </c>
      <c r="C23" s="95"/>
      <c r="D23" s="317"/>
      <c r="E23" s="238"/>
      <c r="F23" s="236"/>
      <c r="G23" s="95">
        <f>D5*12</f>
        <v>12</v>
      </c>
      <c r="H23" s="95"/>
      <c r="I23" s="324"/>
      <c r="J23" s="86"/>
      <c r="K23" s="86"/>
    </row>
    <row r="24" spans="1:11" ht="15.75" customHeight="1" x14ac:dyDescent="0.15">
      <c r="A24" s="98" t="s">
        <v>70</v>
      </c>
      <c r="B24" s="95" t="s">
        <v>106</v>
      </c>
      <c r="C24" s="95"/>
      <c r="D24" s="317"/>
      <c r="E24" s="238"/>
      <c r="F24" s="236"/>
      <c r="G24" s="95">
        <f>D5*10</f>
        <v>10</v>
      </c>
      <c r="H24" s="95"/>
      <c r="I24" s="97"/>
      <c r="J24" s="86"/>
      <c r="K24" s="86"/>
    </row>
    <row r="25" spans="1:11" ht="15.75" customHeight="1" x14ac:dyDescent="0.15">
      <c r="A25" s="100" t="s">
        <v>80</v>
      </c>
      <c r="B25" s="95" t="s">
        <v>142</v>
      </c>
      <c r="C25" s="95"/>
      <c r="D25" s="317"/>
      <c r="E25" s="238"/>
      <c r="F25" s="236"/>
      <c r="G25" s="95">
        <f>D5*4</f>
        <v>4</v>
      </c>
      <c r="H25" s="95"/>
      <c r="I25" s="97"/>
      <c r="J25" s="86"/>
      <c r="K25" s="86"/>
    </row>
    <row r="26" spans="1:11" ht="15.75" customHeight="1" x14ac:dyDescent="0.15">
      <c r="A26" s="325" t="s">
        <v>53</v>
      </c>
      <c r="B26" s="95" t="s">
        <v>143</v>
      </c>
      <c r="C26" s="95"/>
      <c r="D26" s="317"/>
      <c r="E26" s="238"/>
      <c r="F26" s="236"/>
      <c r="G26" s="95">
        <f>D5*4</f>
        <v>4</v>
      </c>
      <c r="H26" s="95"/>
      <c r="I26" s="97"/>
      <c r="J26" s="86"/>
      <c r="K26" s="86"/>
    </row>
    <row r="27" spans="1:11" ht="15.75" customHeight="1" x14ac:dyDescent="0.15">
      <c r="A27" s="305"/>
      <c r="B27" s="95" t="s">
        <v>144</v>
      </c>
      <c r="C27" s="95"/>
      <c r="D27" s="317"/>
      <c r="E27" s="238"/>
      <c r="F27" s="236"/>
      <c r="G27" s="95">
        <f>D5*4</f>
        <v>4</v>
      </c>
      <c r="H27" s="95"/>
      <c r="I27" s="97"/>
      <c r="J27" s="86"/>
      <c r="K27" s="86"/>
    </row>
    <row r="28" spans="1:11" ht="15.75" customHeight="1" x14ac:dyDescent="0.15">
      <c r="A28" s="98" t="s">
        <v>54</v>
      </c>
      <c r="B28" s="95" t="s">
        <v>122</v>
      </c>
      <c r="C28" s="95"/>
      <c r="D28" s="317"/>
      <c r="E28" s="238"/>
      <c r="F28" s="236"/>
      <c r="G28" s="95">
        <f>D5*1</f>
        <v>1</v>
      </c>
      <c r="H28" s="95"/>
      <c r="I28" s="97"/>
      <c r="J28" s="86"/>
      <c r="K28" s="86"/>
    </row>
    <row r="29" spans="1:11" ht="15.75" customHeight="1" x14ac:dyDescent="0.2">
      <c r="A29" s="309" t="s">
        <v>56</v>
      </c>
      <c r="B29" s="236"/>
      <c r="C29" s="311"/>
      <c r="D29" s="238"/>
      <c r="E29" s="238"/>
      <c r="F29" s="238"/>
      <c r="G29" s="238"/>
      <c r="H29" s="236"/>
      <c r="I29" s="97"/>
      <c r="J29" s="86"/>
      <c r="K29" s="86"/>
    </row>
    <row r="30" spans="1:11" ht="15.75" customHeight="1" x14ac:dyDescent="0.2">
      <c r="A30" s="309" t="s">
        <v>57</v>
      </c>
      <c r="B30" s="236"/>
      <c r="C30" s="311"/>
      <c r="D30" s="238"/>
      <c r="E30" s="238"/>
      <c r="F30" s="238"/>
      <c r="G30" s="238"/>
      <c r="H30" s="236"/>
      <c r="I30" s="97"/>
      <c r="J30" s="86"/>
      <c r="K30" s="86"/>
    </row>
    <row r="31" spans="1:11" ht="15.75" customHeight="1" x14ac:dyDescent="0.2">
      <c r="A31" s="335" t="s">
        <v>58</v>
      </c>
      <c r="B31" s="241"/>
      <c r="C31" s="241"/>
      <c r="D31" s="241"/>
      <c r="E31" s="242"/>
      <c r="F31" s="311"/>
      <c r="G31" s="238"/>
      <c r="H31" s="236"/>
      <c r="I31" s="86"/>
      <c r="J31" s="86"/>
      <c r="K31" s="86"/>
    </row>
    <row r="32" spans="1:11" ht="15.75" customHeight="1" x14ac:dyDescent="0.2">
      <c r="A32" s="244"/>
      <c r="B32" s="244"/>
      <c r="C32" s="244"/>
      <c r="D32" s="244"/>
      <c r="E32" s="245"/>
      <c r="F32" s="320" t="s">
        <v>59</v>
      </c>
      <c r="G32" s="321"/>
      <c r="H32" s="322"/>
      <c r="I32" s="86"/>
      <c r="J32" s="86"/>
      <c r="K32" s="86"/>
    </row>
    <row r="33" spans="1:11" ht="15.75" customHeight="1" x14ac:dyDescent="0.2">
      <c r="A33" s="53"/>
      <c r="B33" s="53"/>
      <c r="C33" s="319"/>
      <c r="D33" s="251"/>
      <c r="E33" s="251"/>
      <c r="F33" s="251"/>
      <c r="G33" s="251"/>
      <c r="H33" s="103"/>
      <c r="I33" s="86"/>
      <c r="J33" s="86"/>
      <c r="K33" s="86"/>
    </row>
    <row r="34" spans="1:11" ht="15.75" customHeight="1" x14ac:dyDescent="0.25">
      <c r="A34" s="68"/>
      <c r="B34" s="54"/>
      <c r="C34" s="103"/>
      <c r="D34" s="2"/>
      <c r="E34" s="30"/>
      <c r="F34" s="30"/>
      <c r="G34" s="103"/>
      <c r="H34" s="114"/>
      <c r="I34" s="86"/>
      <c r="J34" s="86"/>
      <c r="K34" s="86"/>
    </row>
    <row r="35" spans="1:11" ht="15.75" customHeight="1" x14ac:dyDescent="0.25">
      <c r="A35" s="68"/>
      <c r="B35" s="30"/>
      <c r="C35" s="30"/>
      <c r="D35" s="30"/>
      <c r="E35" s="30"/>
      <c r="F35" s="30"/>
      <c r="G35" s="103"/>
      <c r="H35" s="114"/>
      <c r="I35" s="86"/>
      <c r="J35" s="86"/>
      <c r="K35" s="86"/>
    </row>
    <row r="36" spans="1:11" ht="15.75" customHeight="1" x14ac:dyDescent="0.25">
      <c r="A36" s="68"/>
      <c r="B36" s="30"/>
      <c r="C36" s="30"/>
      <c r="D36" s="30"/>
      <c r="E36" s="30"/>
      <c r="F36" s="30"/>
      <c r="G36" s="103"/>
      <c r="H36" s="114"/>
      <c r="I36" s="86"/>
      <c r="J36" s="86"/>
      <c r="K36" s="86"/>
    </row>
    <row r="37" spans="1:11" ht="15.75" customHeight="1" x14ac:dyDescent="0.25">
      <c r="A37" s="68"/>
      <c r="B37" s="30"/>
      <c r="C37" s="30"/>
      <c r="D37" s="30"/>
      <c r="E37" s="30"/>
      <c r="F37" s="30"/>
      <c r="G37" s="297">
        <f>D3</f>
        <v>200</v>
      </c>
      <c r="H37" s="251"/>
      <c r="I37" s="86"/>
      <c r="J37" s="86"/>
      <c r="K37" s="86"/>
    </row>
    <row r="38" spans="1:11" ht="15.75" customHeight="1" x14ac:dyDescent="0.25">
      <c r="A38" s="68"/>
      <c r="B38" s="30"/>
      <c r="C38" s="30"/>
      <c r="D38" s="30"/>
      <c r="E38" s="31"/>
      <c r="F38" s="30"/>
      <c r="G38" s="103"/>
      <c r="H38" s="114"/>
      <c r="I38" s="86"/>
      <c r="J38" s="86"/>
      <c r="K38" s="86"/>
    </row>
    <row r="39" spans="1:11" ht="15.75" customHeight="1" x14ac:dyDescent="0.25">
      <c r="A39" s="68"/>
      <c r="B39" s="30"/>
      <c r="C39" s="54"/>
      <c r="D39" s="2"/>
      <c r="E39" s="2"/>
      <c r="F39" s="2"/>
      <c r="G39" s="2"/>
      <c r="H39" s="103"/>
      <c r="I39" s="86"/>
      <c r="J39" s="86"/>
      <c r="K39" s="86"/>
    </row>
    <row r="40" spans="1:11" ht="15.75" customHeight="1" x14ac:dyDescent="0.25">
      <c r="A40" s="68"/>
      <c r="B40" s="30"/>
      <c r="C40" s="30"/>
      <c r="D40" s="30"/>
      <c r="E40" s="30"/>
      <c r="F40" s="30"/>
      <c r="G40" s="103"/>
      <c r="H40" s="103"/>
      <c r="I40" s="86"/>
      <c r="J40" s="86"/>
      <c r="K40" s="86"/>
    </row>
    <row r="41" spans="1:11" ht="15.75" customHeight="1" x14ac:dyDescent="0.2"/>
    <row r="42" spans="1:11" ht="15.75" customHeight="1" x14ac:dyDescent="0.2"/>
    <row r="43" spans="1:11" ht="15.75" customHeight="1" x14ac:dyDescent="0.3">
      <c r="B43" s="252">
        <f>D4</f>
        <v>300</v>
      </c>
      <c r="C43" s="251"/>
      <c r="D43" s="251"/>
      <c r="E43" s="251"/>
      <c r="F43" s="251"/>
    </row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5">
    <mergeCell ref="I21:I23"/>
    <mergeCell ref="G17:G18"/>
    <mergeCell ref="A17:A19"/>
    <mergeCell ref="A21:A23"/>
    <mergeCell ref="I7:K7"/>
    <mergeCell ref="C7:H7"/>
    <mergeCell ref="C6:H6"/>
    <mergeCell ref="E5:H5"/>
    <mergeCell ref="E17:F18"/>
    <mergeCell ref="H17:H19"/>
    <mergeCell ref="E3:H3"/>
    <mergeCell ref="A3:C3"/>
    <mergeCell ref="A1:H1"/>
    <mergeCell ref="A2:H2"/>
    <mergeCell ref="E4:H4"/>
    <mergeCell ref="A4:C4"/>
    <mergeCell ref="D28:F28"/>
    <mergeCell ref="D27:F27"/>
    <mergeCell ref="A30:B30"/>
    <mergeCell ref="A31:E32"/>
    <mergeCell ref="A29:B29"/>
    <mergeCell ref="A26:A27"/>
    <mergeCell ref="F31:H31"/>
    <mergeCell ref="F32:H32"/>
    <mergeCell ref="G37:H37"/>
    <mergeCell ref="B43:F43"/>
    <mergeCell ref="C33:G33"/>
    <mergeCell ref="C29:H29"/>
    <mergeCell ref="C30:H30"/>
    <mergeCell ref="D26:F26"/>
    <mergeCell ref="D24:F24"/>
    <mergeCell ref="D25:F25"/>
    <mergeCell ref="D23:F23"/>
    <mergeCell ref="A5:C5"/>
    <mergeCell ref="A6:B6"/>
    <mergeCell ref="D22:F22"/>
    <mergeCell ref="A8:B8"/>
    <mergeCell ref="D8:F8"/>
    <mergeCell ref="D21:F21"/>
    <mergeCell ref="A7:B7"/>
    <mergeCell ref="D11:F11"/>
    <mergeCell ref="D9:F9"/>
    <mergeCell ref="D10:F10"/>
    <mergeCell ref="E19:F19"/>
    <mergeCell ref="D12:F12"/>
    <mergeCell ref="D13:F13"/>
    <mergeCell ref="D16:F16"/>
    <mergeCell ref="D17:D18"/>
    <mergeCell ref="D15:F15"/>
    <mergeCell ref="D14:F14"/>
    <mergeCell ref="A12:A16"/>
    <mergeCell ref="A9:A11"/>
    <mergeCell ref="C17:C19"/>
    <mergeCell ref="B17:B19"/>
    <mergeCell ref="D20:F2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defaultColWidth="14.390625" defaultRowHeight="15" customHeight="1" x14ac:dyDescent="0.2"/>
  <cols>
    <col min="1" max="1" width="16.6796875" customWidth="1"/>
    <col min="2" max="2" width="19.50390625" customWidth="1"/>
    <col min="3" max="3" width="8.609375" customWidth="1"/>
    <col min="4" max="4" width="18.0234375" customWidth="1"/>
    <col min="5" max="5" width="8.609375" customWidth="1"/>
    <col min="6" max="6" width="4.9765625" customWidth="1"/>
    <col min="7" max="8" width="8.609375" customWidth="1"/>
    <col min="9" max="9" width="16.140625" customWidth="1"/>
    <col min="10" max="10" width="20.58203125" customWidth="1"/>
    <col min="11" max="11" width="16.140625" customWidth="1"/>
  </cols>
  <sheetData>
    <row r="1" spans="1:11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  <c r="I1" s="3" t="s">
        <v>1</v>
      </c>
      <c r="J1" s="2"/>
    </row>
    <row r="2" spans="1:11" ht="20.25" x14ac:dyDescent="0.25">
      <c r="A2" s="293" t="s">
        <v>145</v>
      </c>
      <c r="B2" s="238"/>
      <c r="C2" s="238"/>
      <c r="D2" s="238"/>
      <c r="E2" s="238"/>
      <c r="F2" s="238"/>
      <c r="G2" s="238"/>
      <c r="H2" s="236"/>
      <c r="I2" s="3"/>
      <c r="J2" s="2"/>
    </row>
    <row r="3" spans="1:11" ht="21" x14ac:dyDescent="0.3">
      <c r="A3" s="239" t="s">
        <v>3</v>
      </c>
      <c r="B3" s="238"/>
      <c r="C3" s="236"/>
      <c r="D3" s="115">
        <v>250</v>
      </c>
      <c r="E3" s="330" t="s">
        <v>4</v>
      </c>
      <c r="F3" s="238"/>
      <c r="G3" s="238"/>
      <c r="H3" s="236"/>
      <c r="I3" s="116" t="s">
        <v>5</v>
      </c>
      <c r="J3" s="2"/>
    </row>
    <row r="4" spans="1:11" ht="20.25" customHeight="1" x14ac:dyDescent="0.25">
      <c r="A4" s="278" t="s">
        <v>6</v>
      </c>
      <c r="B4" s="238"/>
      <c r="C4" s="236"/>
      <c r="D4" s="115">
        <v>291.39999999999998</v>
      </c>
      <c r="E4" s="330" t="s">
        <v>4</v>
      </c>
      <c r="F4" s="238"/>
      <c r="G4" s="238"/>
      <c r="H4" s="236"/>
      <c r="I4" s="70"/>
      <c r="J4" s="2"/>
    </row>
    <row r="5" spans="1:11" ht="20.25" customHeight="1" x14ac:dyDescent="0.25">
      <c r="A5" s="278" t="s">
        <v>7</v>
      </c>
      <c r="B5" s="238"/>
      <c r="C5" s="236"/>
      <c r="D5" s="117">
        <v>1</v>
      </c>
      <c r="E5" s="263"/>
      <c r="F5" s="238"/>
      <c r="G5" s="238"/>
      <c r="H5" s="236"/>
      <c r="I5" s="91"/>
      <c r="J5" s="2"/>
    </row>
    <row r="6" spans="1:11" ht="20.25" x14ac:dyDescent="0.25">
      <c r="A6" s="263" t="s">
        <v>72</v>
      </c>
      <c r="B6" s="236"/>
      <c r="C6" s="263"/>
      <c r="D6" s="238"/>
      <c r="E6" s="238"/>
      <c r="F6" s="238"/>
      <c r="G6" s="238"/>
      <c r="H6" s="236"/>
      <c r="J6" s="2"/>
    </row>
    <row r="7" spans="1:11" ht="21" x14ac:dyDescent="0.3">
      <c r="A7" s="263" t="s">
        <v>9</v>
      </c>
      <c r="B7" s="236"/>
      <c r="C7" s="263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4" x14ac:dyDescent="0.3">
      <c r="A8" s="278" t="s">
        <v>61</v>
      </c>
      <c r="B8" s="236"/>
      <c r="C8" s="58" t="s">
        <v>11</v>
      </c>
      <c r="D8" s="290" t="s">
        <v>12</v>
      </c>
      <c r="E8" s="238"/>
      <c r="F8" s="236"/>
      <c r="G8" s="106" t="s">
        <v>13</v>
      </c>
      <c r="H8" s="60" t="s">
        <v>125</v>
      </c>
      <c r="I8" s="39" t="s">
        <v>16</v>
      </c>
      <c r="J8" s="39" t="s">
        <v>17</v>
      </c>
      <c r="K8" s="39" t="s">
        <v>18</v>
      </c>
    </row>
    <row r="9" spans="1:11" x14ac:dyDescent="0.2">
      <c r="A9" s="339" t="s">
        <v>19</v>
      </c>
      <c r="B9" s="11" t="s">
        <v>20</v>
      </c>
      <c r="C9" s="11" t="s">
        <v>85</v>
      </c>
      <c r="D9" s="249">
        <f>D4</f>
        <v>291.39999999999998</v>
      </c>
      <c r="E9" s="238"/>
      <c r="F9" s="236"/>
      <c r="G9" s="11">
        <f>D5*1</f>
        <v>1</v>
      </c>
      <c r="H9" s="11">
        <v>90</v>
      </c>
      <c r="I9" s="11" t="s">
        <v>85</v>
      </c>
      <c r="J9" s="11" t="s">
        <v>135</v>
      </c>
      <c r="K9" s="41">
        <f>D9*D5</f>
        <v>291.39999999999998</v>
      </c>
    </row>
    <row r="10" spans="1:11" x14ac:dyDescent="0.2">
      <c r="A10" s="254"/>
      <c r="B10" s="11" t="s">
        <v>23</v>
      </c>
      <c r="C10" s="11" t="s">
        <v>87</v>
      </c>
      <c r="D10" s="249">
        <f>D4</f>
        <v>291.39999999999998</v>
      </c>
      <c r="E10" s="238"/>
      <c r="F10" s="236"/>
      <c r="G10" s="11">
        <f>D5*1</f>
        <v>1</v>
      </c>
      <c r="H10" s="11">
        <v>90</v>
      </c>
      <c r="I10" s="11" t="s">
        <v>87</v>
      </c>
      <c r="J10" s="11" t="s">
        <v>136</v>
      </c>
      <c r="K10" s="41">
        <f>D10*D5</f>
        <v>291.39999999999998</v>
      </c>
    </row>
    <row r="11" spans="1:11" x14ac:dyDescent="0.2">
      <c r="A11" s="255"/>
      <c r="B11" s="11" t="s">
        <v>26</v>
      </c>
      <c r="C11" s="11" t="s">
        <v>89</v>
      </c>
      <c r="D11" s="249">
        <f>D3-1.2</f>
        <v>248.8</v>
      </c>
      <c r="E11" s="238"/>
      <c r="F11" s="236"/>
      <c r="G11" s="11">
        <f>D5*2</f>
        <v>2</v>
      </c>
      <c r="H11" s="11">
        <v>90</v>
      </c>
      <c r="I11" s="11" t="s">
        <v>89</v>
      </c>
      <c r="J11" s="11" t="s">
        <v>137</v>
      </c>
      <c r="K11" s="41">
        <f>(D11*2)*D5</f>
        <v>497.6</v>
      </c>
    </row>
    <row r="12" spans="1:11" x14ac:dyDescent="0.2">
      <c r="A12" s="282" t="s">
        <v>66</v>
      </c>
      <c r="B12" s="11" t="s">
        <v>138</v>
      </c>
      <c r="C12" s="11" t="s">
        <v>93</v>
      </c>
      <c r="D12" s="249">
        <f>D3-2.7</f>
        <v>247.3</v>
      </c>
      <c r="E12" s="238"/>
      <c r="F12" s="236"/>
      <c r="G12" s="11">
        <f>D5*1</f>
        <v>1</v>
      </c>
      <c r="H12" s="11">
        <v>90</v>
      </c>
      <c r="I12" s="11" t="s">
        <v>93</v>
      </c>
      <c r="J12" s="11" t="s">
        <v>138</v>
      </c>
      <c r="K12" s="41">
        <f>(D12*4)*D5</f>
        <v>989.2</v>
      </c>
    </row>
    <row r="13" spans="1:11" x14ac:dyDescent="0.2">
      <c r="A13" s="254"/>
      <c r="B13" s="11" t="s">
        <v>139</v>
      </c>
      <c r="C13" s="11" t="s">
        <v>95</v>
      </c>
      <c r="D13" s="249">
        <f>D3-2.7</f>
        <v>247.3</v>
      </c>
      <c r="E13" s="238"/>
      <c r="F13" s="236"/>
      <c r="G13" s="11">
        <f>D5*1</f>
        <v>1</v>
      </c>
      <c r="H13" s="11">
        <v>90</v>
      </c>
      <c r="I13" s="11" t="s">
        <v>95</v>
      </c>
      <c r="J13" s="11" t="s">
        <v>139</v>
      </c>
      <c r="K13" s="41">
        <f>(D13*2)*D5</f>
        <v>494.6</v>
      </c>
    </row>
    <row r="14" spans="1:11" x14ac:dyDescent="0.2">
      <c r="A14" s="254"/>
      <c r="B14" s="11" t="s">
        <v>96</v>
      </c>
      <c r="C14" s="11" t="s">
        <v>97</v>
      </c>
      <c r="D14" s="249">
        <f>(D4+2.3)/3</f>
        <v>97.899999999999991</v>
      </c>
      <c r="E14" s="238"/>
      <c r="F14" s="236"/>
      <c r="G14" s="11">
        <f>D5*1</f>
        <v>1</v>
      </c>
      <c r="H14" s="11">
        <v>90</v>
      </c>
      <c r="I14" s="11" t="s">
        <v>97</v>
      </c>
      <c r="J14" s="11" t="s">
        <v>96</v>
      </c>
      <c r="K14" s="41">
        <f>(D14*3)*D5</f>
        <v>293.7</v>
      </c>
    </row>
    <row r="15" spans="1:11" x14ac:dyDescent="0.2">
      <c r="A15" s="255"/>
      <c r="B15" s="11" t="s">
        <v>99</v>
      </c>
      <c r="C15" s="11" t="s">
        <v>100</v>
      </c>
      <c r="D15" s="249">
        <f>D14</f>
        <v>97.899999999999991</v>
      </c>
      <c r="E15" s="238"/>
      <c r="F15" s="236"/>
      <c r="G15" s="11">
        <f>D5*1</f>
        <v>1</v>
      </c>
      <c r="H15" s="11">
        <v>90</v>
      </c>
      <c r="I15" s="11" t="s">
        <v>100</v>
      </c>
      <c r="J15" s="11" t="s">
        <v>99</v>
      </c>
      <c r="K15" s="107">
        <f>D15*3*D5</f>
        <v>293.7</v>
      </c>
    </row>
    <row r="16" spans="1:11" x14ac:dyDescent="0.2">
      <c r="A16" s="282" t="s">
        <v>126</v>
      </c>
      <c r="B16" s="11" t="s">
        <v>138</v>
      </c>
      <c r="C16" s="11" t="s">
        <v>93</v>
      </c>
      <c r="D16" s="249">
        <f>D3-2.7</f>
        <v>247.3</v>
      </c>
      <c r="E16" s="238"/>
      <c r="F16" s="236"/>
      <c r="G16" s="11">
        <f>D5*3</f>
        <v>3</v>
      </c>
      <c r="H16" s="11">
        <v>90</v>
      </c>
      <c r="I16" s="11" t="s">
        <v>116</v>
      </c>
      <c r="J16" s="11" t="s">
        <v>129</v>
      </c>
      <c r="K16" s="12">
        <f>D20*D5</f>
        <v>247.3</v>
      </c>
    </row>
    <row r="17" spans="1:10" x14ac:dyDescent="0.2">
      <c r="A17" s="254"/>
      <c r="B17" s="11" t="s">
        <v>139</v>
      </c>
      <c r="C17" s="11" t="s">
        <v>95</v>
      </c>
      <c r="D17" s="249">
        <f>D3-2.7</f>
        <v>247.3</v>
      </c>
      <c r="E17" s="238"/>
      <c r="F17" s="236"/>
      <c r="G17" s="11">
        <f>D5*1</f>
        <v>1</v>
      </c>
      <c r="H17" s="11">
        <v>90</v>
      </c>
      <c r="I17" s="32"/>
      <c r="J17" s="2"/>
    </row>
    <row r="18" spans="1:10" x14ac:dyDescent="0.2">
      <c r="A18" s="254"/>
      <c r="B18" s="11" t="s">
        <v>96</v>
      </c>
      <c r="C18" s="11" t="s">
        <v>97</v>
      </c>
      <c r="D18" s="249">
        <f>(D4+2.3)/3</f>
        <v>97.899999999999991</v>
      </c>
      <c r="E18" s="238"/>
      <c r="F18" s="236"/>
      <c r="G18" s="11">
        <f>D5*2</f>
        <v>2</v>
      </c>
      <c r="H18" s="11">
        <v>90</v>
      </c>
      <c r="I18" s="32"/>
      <c r="J18" s="2"/>
    </row>
    <row r="19" spans="1:10" x14ac:dyDescent="0.2">
      <c r="A19" s="254"/>
      <c r="B19" s="11" t="s">
        <v>99</v>
      </c>
      <c r="C19" s="11" t="s">
        <v>100</v>
      </c>
      <c r="D19" s="249">
        <f>(D4+2.3)/3</f>
        <v>97.899999999999991</v>
      </c>
      <c r="E19" s="238"/>
      <c r="F19" s="236"/>
      <c r="G19" s="11">
        <f>D5*2</f>
        <v>2</v>
      </c>
      <c r="H19" s="11">
        <v>90</v>
      </c>
      <c r="I19" s="32"/>
      <c r="J19" s="2"/>
    </row>
    <row r="20" spans="1:10" x14ac:dyDescent="0.2">
      <c r="A20" s="255"/>
      <c r="B20" s="11" t="s">
        <v>129</v>
      </c>
      <c r="C20" s="11" t="s">
        <v>116</v>
      </c>
      <c r="D20" s="249">
        <f>D16</f>
        <v>247.3</v>
      </c>
      <c r="E20" s="238"/>
      <c r="F20" s="236"/>
      <c r="G20" s="11">
        <f>D5*1</f>
        <v>1</v>
      </c>
      <c r="H20" s="11">
        <v>90</v>
      </c>
      <c r="I20" s="32"/>
      <c r="J20" s="2"/>
    </row>
    <row r="21" spans="1:10" ht="15.75" customHeight="1" x14ac:dyDescent="0.2">
      <c r="A21" s="338" t="s">
        <v>39</v>
      </c>
      <c r="B21" s="260" t="s">
        <v>141</v>
      </c>
      <c r="C21" s="268"/>
      <c r="D21" s="279" t="s">
        <v>3</v>
      </c>
      <c r="E21" s="283" t="s">
        <v>41</v>
      </c>
      <c r="F21" s="242"/>
      <c r="G21" s="299"/>
      <c r="H21" s="299"/>
      <c r="I21" s="32"/>
      <c r="J21" s="2"/>
    </row>
    <row r="22" spans="1:10" ht="15.75" customHeight="1" x14ac:dyDescent="0.2">
      <c r="A22" s="254"/>
      <c r="B22" s="255"/>
      <c r="C22" s="255"/>
      <c r="D22" s="255"/>
      <c r="E22" s="243"/>
      <c r="F22" s="245"/>
      <c r="G22" s="255"/>
      <c r="H22" s="255"/>
      <c r="I22" s="32"/>
      <c r="J22" s="2"/>
    </row>
    <row r="23" spans="1:10" ht="15.75" customHeight="1" x14ac:dyDescent="0.2">
      <c r="A23" s="254"/>
      <c r="B23" s="110" t="s">
        <v>131</v>
      </c>
      <c r="C23" s="111"/>
      <c r="D23" s="17">
        <f>D12-8.3</f>
        <v>239</v>
      </c>
      <c r="E23" s="235">
        <f>D14-5.7</f>
        <v>92.199999999999989</v>
      </c>
      <c r="F23" s="236"/>
      <c r="G23" s="16">
        <f>D5*1</f>
        <v>1</v>
      </c>
      <c r="H23" s="16"/>
      <c r="I23" s="337"/>
      <c r="J23" s="2"/>
    </row>
    <row r="24" spans="1:10" ht="15.75" customHeight="1" x14ac:dyDescent="0.2">
      <c r="A24" s="254"/>
      <c r="B24" s="110" t="s">
        <v>132</v>
      </c>
      <c r="C24" s="110"/>
      <c r="D24" s="17">
        <f t="shared" ref="D24:D25" si="0">D16-8.3</f>
        <v>239</v>
      </c>
      <c r="E24" s="235">
        <f>D18-5.7</f>
        <v>92.199999999999989</v>
      </c>
      <c r="F24" s="236"/>
      <c r="G24" s="16">
        <f>D5*1</f>
        <v>1</v>
      </c>
      <c r="H24" s="16"/>
      <c r="I24" s="251"/>
      <c r="J24" s="2"/>
    </row>
    <row r="25" spans="1:10" ht="15.75" customHeight="1" x14ac:dyDescent="0.2">
      <c r="A25" s="255"/>
      <c r="B25" s="110" t="s">
        <v>133</v>
      </c>
      <c r="C25" s="110"/>
      <c r="D25" s="17">
        <f t="shared" si="0"/>
        <v>239</v>
      </c>
      <c r="E25" s="235">
        <f>D18-5.7</f>
        <v>92.199999999999989</v>
      </c>
      <c r="F25" s="236"/>
      <c r="G25" s="16">
        <f>D5*1</f>
        <v>1</v>
      </c>
      <c r="H25" s="16"/>
      <c r="I25" s="251"/>
      <c r="J25" s="2"/>
    </row>
    <row r="26" spans="1:10" ht="15.75" customHeight="1" x14ac:dyDescent="0.2">
      <c r="A26" s="64" t="s">
        <v>42</v>
      </c>
      <c r="B26" s="11">
        <v>8025</v>
      </c>
      <c r="C26" s="11"/>
      <c r="D26" s="249"/>
      <c r="E26" s="238"/>
      <c r="F26" s="236"/>
      <c r="G26" s="11">
        <f>(D23*6)+(E23*6)*D5</f>
        <v>1987.1999999999998</v>
      </c>
      <c r="H26" s="11" t="s">
        <v>43</v>
      </c>
      <c r="I26" s="32"/>
      <c r="J26" s="2"/>
    </row>
    <row r="27" spans="1:10" ht="15.75" customHeight="1" x14ac:dyDescent="0.2">
      <c r="A27" s="282" t="s">
        <v>44</v>
      </c>
      <c r="B27" s="11" t="s">
        <v>45</v>
      </c>
      <c r="C27" s="11"/>
      <c r="D27" s="246"/>
      <c r="E27" s="238"/>
      <c r="F27" s="236"/>
      <c r="G27" s="11">
        <f>D5*16</f>
        <v>16</v>
      </c>
      <c r="H27" s="11"/>
      <c r="I27" s="337"/>
      <c r="J27" s="2"/>
    </row>
    <row r="28" spans="1:10" ht="15.75" customHeight="1" x14ac:dyDescent="0.2">
      <c r="A28" s="254"/>
      <c r="B28" s="11" t="s">
        <v>119</v>
      </c>
      <c r="C28" s="11"/>
      <c r="D28" s="246"/>
      <c r="E28" s="238"/>
      <c r="F28" s="236"/>
      <c r="G28" s="11">
        <f>D5*10</f>
        <v>10</v>
      </c>
      <c r="H28" s="11"/>
      <c r="I28" s="251"/>
      <c r="J28" s="2"/>
    </row>
    <row r="29" spans="1:10" ht="15.75" customHeight="1" x14ac:dyDescent="0.2">
      <c r="A29" s="255"/>
      <c r="B29" s="11" t="s">
        <v>105</v>
      </c>
      <c r="C29" s="11"/>
      <c r="D29" s="246"/>
      <c r="E29" s="238"/>
      <c r="F29" s="236"/>
      <c r="G29" s="11">
        <f>D5*6</f>
        <v>6</v>
      </c>
      <c r="H29" s="11"/>
      <c r="I29" s="251"/>
      <c r="J29" s="2"/>
    </row>
    <row r="30" spans="1:10" ht="15.75" customHeight="1" x14ac:dyDescent="0.2">
      <c r="A30" s="64" t="s">
        <v>70</v>
      </c>
      <c r="B30" s="11" t="s">
        <v>106</v>
      </c>
      <c r="C30" s="11"/>
      <c r="D30" s="246"/>
      <c r="E30" s="238"/>
      <c r="F30" s="236"/>
      <c r="G30" s="11">
        <f>D5*10</f>
        <v>10</v>
      </c>
      <c r="H30" s="11"/>
      <c r="I30" s="32"/>
      <c r="J30" s="2"/>
    </row>
    <row r="31" spans="1:10" ht="15.75" customHeight="1" x14ac:dyDescent="0.2">
      <c r="A31" s="67" t="s">
        <v>80</v>
      </c>
      <c r="B31" s="11" t="s">
        <v>142</v>
      </c>
      <c r="C31" s="11"/>
      <c r="D31" s="246"/>
      <c r="E31" s="238"/>
      <c r="F31" s="236"/>
      <c r="G31" s="11">
        <f>D5*4</f>
        <v>4</v>
      </c>
      <c r="H31" s="11"/>
      <c r="I31" s="32"/>
      <c r="J31" s="2"/>
    </row>
    <row r="32" spans="1:10" ht="15.75" customHeight="1" x14ac:dyDescent="0.2">
      <c r="A32" s="282" t="s">
        <v>53</v>
      </c>
      <c r="B32" s="11" t="s">
        <v>146</v>
      </c>
      <c r="C32" s="11"/>
      <c r="D32" s="246"/>
      <c r="E32" s="238"/>
      <c r="F32" s="236"/>
      <c r="G32" s="11">
        <f>D5*4</f>
        <v>4</v>
      </c>
      <c r="H32" s="11"/>
      <c r="I32" s="337"/>
      <c r="J32" s="2"/>
    </row>
    <row r="33" spans="1:10" ht="15.75" customHeight="1" x14ac:dyDescent="0.2">
      <c r="A33" s="255"/>
      <c r="B33" s="11" t="s">
        <v>147</v>
      </c>
      <c r="C33" s="11"/>
      <c r="D33" s="246"/>
      <c r="E33" s="238"/>
      <c r="F33" s="236"/>
      <c r="G33" s="11">
        <f>D5*4</f>
        <v>4</v>
      </c>
      <c r="H33" s="11"/>
      <c r="I33" s="251"/>
      <c r="J33" s="2"/>
    </row>
    <row r="34" spans="1:10" ht="15.75" customHeight="1" x14ac:dyDescent="0.2">
      <c r="A34" s="64" t="s">
        <v>54</v>
      </c>
      <c r="B34" s="11" t="s">
        <v>110</v>
      </c>
      <c r="C34" s="11"/>
      <c r="D34" s="246"/>
      <c r="E34" s="238"/>
      <c r="F34" s="236"/>
      <c r="G34" s="11">
        <f>D5*1</f>
        <v>1</v>
      </c>
      <c r="H34" s="11"/>
      <c r="I34" s="32"/>
      <c r="J34" s="2"/>
    </row>
    <row r="35" spans="1:10" ht="15.75" customHeight="1" x14ac:dyDescent="0.2">
      <c r="A35" s="239" t="s">
        <v>56</v>
      </c>
      <c r="B35" s="236"/>
      <c r="C35" s="239"/>
      <c r="D35" s="238"/>
      <c r="E35" s="238"/>
      <c r="F35" s="238"/>
      <c r="G35" s="238"/>
      <c r="H35" s="236"/>
      <c r="I35" s="32"/>
      <c r="J35" s="2"/>
    </row>
    <row r="36" spans="1:10" ht="15.75" customHeight="1" x14ac:dyDescent="0.2">
      <c r="A36" s="239" t="s">
        <v>57</v>
      </c>
      <c r="B36" s="236"/>
      <c r="C36" s="239"/>
      <c r="D36" s="238"/>
      <c r="E36" s="238"/>
      <c r="F36" s="238"/>
      <c r="G36" s="238"/>
      <c r="H36" s="236"/>
      <c r="I36" s="32"/>
      <c r="J36" s="2"/>
    </row>
    <row r="37" spans="1:10" ht="18" customHeight="1" x14ac:dyDescent="0.2">
      <c r="A37" s="240" t="s">
        <v>58</v>
      </c>
      <c r="B37" s="241"/>
      <c r="C37" s="241"/>
      <c r="D37" s="241"/>
      <c r="E37" s="242"/>
      <c r="F37" s="240" t="s">
        <v>59</v>
      </c>
      <c r="G37" s="241"/>
      <c r="H37" s="242"/>
      <c r="I37" s="32"/>
      <c r="J37" s="2"/>
    </row>
    <row r="38" spans="1:10" ht="18" customHeight="1" x14ac:dyDescent="0.2">
      <c r="A38" s="243"/>
      <c r="B38" s="244"/>
      <c r="C38" s="244"/>
      <c r="D38" s="244"/>
      <c r="E38" s="245"/>
      <c r="F38" s="243"/>
      <c r="G38" s="244"/>
      <c r="H38" s="245"/>
      <c r="I38" s="32"/>
      <c r="J38" s="2"/>
    </row>
    <row r="39" spans="1:10" ht="15.75" customHeight="1" x14ac:dyDescent="0.25">
      <c r="A39" s="79"/>
      <c r="B39" s="30"/>
      <c r="C39" s="284"/>
      <c r="D39" s="251"/>
      <c r="E39" s="251"/>
      <c r="F39" s="251"/>
      <c r="G39" s="2"/>
      <c r="H39" s="30"/>
      <c r="I39" s="2"/>
      <c r="J39" s="2"/>
    </row>
    <row r="40" spans="1:10" ht="15.75" customHeight="1" x14ac:dyDescent="0.25">
      <c r="A40" s="79"/>
      <c r="B40" s="30"/>
      <c r="C40" s="2"/>
      <c r="D40" s="2"/>
      <c r="E40" s="2"/>
      <c r="F40" s="2"/>
      <c r="G40" s="2"/>
      <c r="H40" s="30"/>
      <c r="I40" s="2"/>
      <c r="J40" s="2"/>
    </row>
    <row r="41" spans="1:10" ht="15.75" customHeight="1" x14ac:dyDescent="0.25">
      <c r="A41" s="79"/>
      <c r="B41" s="30"/>
      <c r="C41" s="2"/>
      <c r="D41" s="2"/>
      <c r="E41" s="2"/>
      <c r="F41" s="2"/>
      <c r="G41" s="2"/>
      <c r="H41" s="30"/>
      <c r="I41" s="2"/>
      <c r="J41" s="2"/>
    </row>
    <row r="42" spans="1:10" ht="15.75" customHeight="1" x14ac:dyDescent="0.25">
      <c r="A42" s="79"/>
      <c r="B42" s="30"/>
      <c r="C42" s="2"/>
      <c r="D42" s="2"/>
      <c r="E42" s="2"/>
      <c r="F42" s="2"/>
      <c r="G42" s="54"/>
      <c r="H42" s="30"/>
      <c r="I42" s="2"/>
      <c r="J42" s="2"/>
    </row>
    <row r="43" spans="1:10" ht="15.75" customHeight="1" x14ac:dyDescent="0.3">
      <c r="A43" s="79"/>
      <c r="B43" s="30"/>
      <c r="C43" s="2"/>
      <c r="D43" s="2"/>
      <c r="E43" s="2"/>
      <c r="F43" s="2"/>
      <c r="G43" s="2"/>
      <c r="H43" s="33">
        <f>D3</f>
        <v>250</v>
      </c>
      <c r="I43" s="2"/>
      <c r="J43" s="2"/>
    </row>
    <row r="44" spans="1:10" ht="15.75" customHeight="1" x14ac:dyDescent="0.25">
      <c r="A44" s="79"/>
      <c r="B44" s="30"/>
      <c r="C44" s="2"/>
      <c r="D44" s="2"/>
      <c r="E44" s="2"/>
      <c r="F44" s="2"/>
      <c r="G44" s="2"/>
      <c r="H44" s="30"/>
      <c r="I44" s="2"/>
      <c r="J44" s="2"/>
    </row>
    <row r="45" spans="1:10" ht="15.75" customHeight="1" x14ac:dyDescent="0.25">
      <c r="A45" s="79"/>
      <c r="B45" s="30"/>
      <c r="C45" s="284"/>
      <c r="D45" s="251"/>
      <c r="E45" s="251"/>
      <c r="F45" s="251"/>
      <c r="G45" s="2"/>
      <c r="H45" s="30"/>
      <c r="I45" s="2"/>
      <c r="J45" s="2"/>
    </row>
    <row r="46" spans="1:10" ht="15.75" customHeight="1" x14ac:dyDescent="0.25">
      <c r="A46" s="79"/>
      <c r="B46" s="30"/>
      <c r="C46" s="2"/>
      <c r="D46" s="2"/>
      <c r="E46" s="2"/>
      <c r="F46" s="2"/>
      <c r="G46" s="2"/>
      <c r="H46" s="30"/>
      <c r="I46" s="2"/>
      <c r="J46" s="2"/>
    </row>
    <row r="47" spans="1:10" ht="15.75" customHeight="1" x14ac:dyDescent="0.2"/>
    <row r="48" spans="1:10" ht="15.75" customHeight="1" x14ac:dyDescent="0.2"/>
    <row r="49" spans="4:4" ht="15.75" customHeight="1" x14ac:dyDescent="0.2"/>
    <row r="50" spans="4:4" ht="15.75" customHeight="1" x14ac:dyDescent="0.3">
      <c r="D50" s="118">
        <f>D4</f>
        <v>291.39999999999998</v>
      </c>
    </row>
    <row r="51" spans="4:4" ht="15.75" customHeight="1" x14ac:dyDescent="0.2"/>
    <row r="52" spans="4:4" ht="15.75" customHeight="1" x14ac:dyDescent="0.2"/>
    <row r="53" spans="4:4" ht="15.75" customHeight="1" x14ac:dyDescent="0.2"/>
    <row r="54" spans="4:4" ht="15.75" customHeight="1" x14ac:dyDescent="0.2"/>
    <row r="55" spans="4:4" ht="15.75" customHeight="1" x14ac:dyDescent="0.2"/>
    <row r="56" spans="4:4" ht="15.75" customHeight="1" x14ac:dyDescent="0.2"/>
    <row r="57" spans="4:4" ht="15.75" customHeight="1" x14ac:dyDescent="0.2"/>
    <row r="58" spans="4:4" ht="15.75" customHeight="1" x14ac:dyDescent="0.2"/>
    <row r="59" spans="4:4" ht="15.75" customHeight="1" x14ac:dyDescent="0.2"/>
    <row r="60" spans="4:4" ht="15.75" customHeight="1" x14ac:dyDescent="0.2"/>
    <row r="61" spans="4:4" ht="15.75" customHeight="1" x14ac:dyDescent="0.2"/>
    <row r="62" spans="4:4" ht="15.75" customHeight="1" x14ac:dyDescent="0.2"/>
    <row r="63" spans="4:4" ht="15.75" customHeight="1" x14ac:dyDescent="0.2"/>
    <row r="64" spans="4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62">
    <mergeCell ref="A3:C3"/>
    <mergeCell ref="A6:B6"/>
    <mergeCell ref="A1:H1"/>
    <mergeCell ref="A2:H2"/>
    <mergeCell ref="C6:H6"/>
    <mergeCell ref="E4:H4"/>
    <mergeCell ref="E5:H5"/>
    <mergeCell ref="E3:H3"/>
    <mergeCell ref="I7:K7"/>
    <mergeCell ref="A7:B7"/>
    <mergeCell ref="A9:A11"/>
    <mergeCell ref="A8:B8"/>
    <mergeCell ref="A4:C4"/>
    <mergeCell ref="A5:C5"/>
    <mergeCell ref="D10:F10"/>
    <mergeCell ref="D11:F11"/>
    <mergeCell ref="D9:F9"/>
    <mergeCell ref="D8:F8"/>
    <mergeCell ref="C7:H7"/>
    <mergeCell ref="D17:F17"/>
    <mergeCell ref="D16:F16"/>
    <mergeCell ref="A16:A20"/>
    <mergeCell ref="A12:A15"/>
    <mergeCell ref="D21:D22"/>
    <mergeCell ref="B21:B22"/>
    <mergeCell ref="C21:C22"/>
    <mergeCell ref="D13:F13"/>
    <mergeCell ref="D12:F12"/>
    <mergeCell ref="D20:F20"/>
    <mergeCell ref="D19:F19"/>
    <mergeCell ref="D18:F18"/>
    <mergeCell ref="D15:F15"/>
    <mergeCell ref="D14:F14"/>
    <mergeCell ref="I23:I25"/>
    <mergeCell ref="D32:F32"/>
    <mergeCell ref="D33:F33"/>
    <mergeCell ref="H21:H22"/>
    <mergeCell ref="D34:F34"/>
    <mergeCell ref="G21:G22"/>
    <mergeCell ref="E23:F23"/>
    <mergeCell ref="C39:F39"/>
    <mergeCell ref="C45:F45"/>
    <mergeCell ref="D26:F26"/>
    <mergeCell ref="D27:F27"/>
    <mergeCell ref="A21:A25"/>
    <mergeCell ref="A27:A29"/>
    <mergeCell ref="E21:F22"/>
    <mergeCell ref="D29:F29"/>
    <mergeCell ref="D30:F30"/>
    <mergeCell ref="A32:A33"/>
    <mergeCell ref="D31:F31"/>
    <mergeCell ref="E24:F24"/>
    <mergeCell ref="E25:F25"/>
    <mergeCell ref="D28:F28"/>
    <mergeCell ref="I27:I29"/>
    <mergeCell ref="I32:I33"/>
    <mergeCell ref="A35:B35"/>
    <mergeCell ref="C35:H35"/>
    <mergeCell ref="A37:E38"/>
    <mergeCell ref="C36:H36"/>
    <mergeCell ref="A36:B36"/>
    <mergeCell ref="F37:H38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"/>
  <sheetViews>
    <sheetView workbookViewId="0"/>
  </sheetViews>
  <sheetFormatPr defaultColWidth="14.390625" defaultRowHeight="15" customHeight="1" x14ac:dyDescent="0.2"/>
  <cols>
    <col min="1" max="1" width="29.86328125" customWidth="1"/>
    <col min="2" max="2" width="17.75390625" customWidth="1"/>
    <col min="3" max="3" width="13.98828125" customWidth="1"/>
    <col min="4" max="4" width="7.26171875" customWidth="1"/>
    <col min="5" max="5" width="7.93359375" customWidth="1"/>
    <col min="6" max="6" width="8.33984375" customWidth="1"/>
    <col min="7" max="7" width="12.375" customWidth="1"/>
    <col min="8" max="8" width="16.6796875" customWidth="1"/>
    <col min="9" max="9" width="23.67578125" customWidth="1"/>
    <col min="10" max="10" width="15.46875" customWidth="1"/>
    <col min="11" max="13" width="8.609375" customWidth="1"/>
  </cols>
  <sheetData>
    <row r="1" spans="1:13" ht="23.25" x14ac:dyDescent="0.3">
      <c r="A1" s="119" t="s">
        <v>148</v>
      </c>
      <c r="B1" s="120"/>
      <c r="C1" s="120"/>
      <c r="D1" s="120"/>
      <c r="E1" s="120"/>
      <c r="F1" s="120"/>
      <c r="G1" s="121"/>
      <c r="H1" s="122" t="s">
        <v>1</v>
      </c>
      <c r="I1" s="2"/>
      <c r="J1" s="2"/>
      <c r="K1" s="2"/>
    </row>
    <row r="2" spans="1:13" ht="23.25" x14ac:dyDescent="0.3">
      <c r="A2" s="261" t="s">
        <v>149</v>
      </c>
      <c r="B2" s="238"/>
      <c r="C2" s="238"/>
      <c r="D2" s="238"/>
      <c r="E2" s="238"/>
      <c r="F2" s="238"/>
      <c r="G2" s="236"/>
      <c r="H2" s="122"/>
      <c r="I2" s="2"/>
      <c r="J2" s="2"/>
      <c r="K2" s="340"/>
      <c r="L2" s="251"/>
      <c r="M2" s="251"/>
    </row>
    <row r="3" spans="1:13" ht="21" x14ac:dyDescent="0.3">
      <c r="A3" s="263" t="s">
        <v>3</v>
      </c>
      <c r="B3" s="236"/>
      <c r="C3" s="4">
        <v>150</v>
      </c>
      <c r="D3" s="330" t="s">
        <v>4</v>
      </c>
      <c r="E3" s="238"/>
      <c r="F3" s="238"/>
      <c r="G3" s="236"/>
      <c r="H3" s="124" t="s">
        <v>5</v>
      </c>
      <c r="I3" s="2"/>
      <c r="K3" s="2"/>
    </row>
    <row r="4" spans="1:13" ht="21" x14ac:dyDescent="0.3">
      <c r="A4" s="247" t="s">
        <v>6</v>
      </c>
      <c r="B4" s="236"/>
      <c r="C4" s="4">
        <v>149.4</v>
      </c>
      <c r="D4" s="330" t="s">
        <v>4</v>
      </c>
      <c r="E4" s="238"/>
      <c r="F4" s="238"/>
      <c r="G4" s="236"/>
      <c r="H4" s="124"/>
      <c r="I4" s="2"/>
      <c r="J4" s="2"/>
      <c r="K4" s="2"/>
    </row>
    <row r="5" spans="1:13" ht="21" x14ac:dyDescent="0.3">
      <c r="A5" s="247" t="s">
        <v>7</v>
      </c>
      <c r="B5" s="236"/>
      <c r="C5" s="125">
        <v>1</v>
      </c>
      <c r="D5" s="263"/>
      <c r="E5" s="238"/>
      <c r="F5" s="238"/>
      <c r="G5" s="236"/>
      <c r="H5" s="37"/>
      <c r="I5" s="2"/>
      <c r="J5" s="2"/>
      <c r="K5" s="2"/>
    </row>
    <row r="6" spans="1:13" ht="20.25" x14ac:dyDescent="0.25">
      <c r="A6" s="263" t="s">
        <v>72</v>
      </c>
      <c r="B6" s="236"/>
      <c r="C6" s="330"/>
      <c r="D6" s="238"/>
      <c r="E6" s="238"/>
      <c r="F6" s="238"/>
      <c r="G6" s="236"/>
      <c r="I6" s="2"/>
      <c r="J6" s="2"/>
      <c r="K6" s="2"/>
    </row>
    <row r="7" spans="1:13" ht="17.25" customHeight="1" x14ac:dyDescent="0.25">
      <c r="A7" s="263" t="s">
        <v>9</v>
      </c>
      <c r="B7" s="236"/>
      <c r="C7" s="263"/>
      <c r="D7" s="238"/>
      <c r="E7" s="238"/>
      <c r="F7" s="238"/>
      <c r="G7" s="236"/>
      <c r="K7" s="2"/>
    </row>
    <row r="8" spans="1:13" ht="18.75" customHeight="1" x14ac:dyDescent="0.3">
      <c r="A8" s="248" t="s">
        <v>10</v>
      </c>
      <c r="B8" s="242"/>
      <c r="C8" s="253" t="s">
        <v>11</v>
      </c>
      <c r="D8" s="346" t="s">
        <v>150</v>
      </c>
      <c r="E8" s="242"/>
      <c r="F8" s="270" t="s">
        <v>13</v>
      </c>
      <c r="G8" s="342" t="s">
        <v>14</v>
      </c>
      <c r="H8" s="273" t="s">
        <v>15</v>
      </c>
      <c r="I8" s="238"/>
      <c r="J8" s="236"/>
      <c r="K8" s="2"/>
    </row>
    <row r="9" spans="1:13" ht="21" x14ac:dyDescent="0.3">
      <c r="A9" s="243"/>
      <c r="B9" s="245"/>
      <c r="C9" s="255"/>
      <c r="D9" s="243"/>
      <c r="E9" s="245"/>
      <c r="F9" s="255"/>
      <c r="G9" s="255"/>
      <c r="H9" s="39" t="s">
        <v>16</v>
      </c>
      <c r="I9" s="39" t="s">
        <v>17</v>
      </c>
      <c r="J9" s="39" t="s">
        <v>18</v>
      </c>
      <c r="K9" s="2"/>
    </row>
    <row r="10" spans="1:13" ht="15" customHeight="1" x14ac:dyDescent="0.15">
      <c r="A10" s="256" t="s">
        <v>19</v>
      </c>
      <c r="B10" s="270" t="s">
        <v>151</v>
      </c>
      <c r="C10" s="270" t="s">
        <v>152</v>
      </c>
      <c r="D10" s="249">
        <f>C3</f>
        <v>150</v>
      </c>
      <c r="E10" s="236"/>
      <c r="F10" s="11">
        <f>C5*2</f>
        <v>2</v>
      </c>
      <c r="G10" s="270">
        <v>90</v>
      </c>
      <c r="H10" s="270" t="s">
        <v>152</v>
      </c>
      <c r="I10" s="270" t="s">
        <v>151</v>
      </c>
      <c r="J10" s="343">
        <f>(D10*2)+D11*C5</f>
        <v>444.4</v>
      </c>
      <c r="K10" s="126"/>
    </row>
    <row r="11" spans="1:13" x14ac:dyDescent="0.2">
      <c r="A11" s="255"/>
      <c r="B11" s="255"/>
      <c r="C11" s="254"/>
      <c r="D11" s="249">
        <f>C4-5</f>
        <v>144.4</v>
      </c>
      <c r="E11" s="236"/>
      <c r="F11" s="11">
        <f>C5*1</f>
        <v>1</v>
      </c>
      <c r="G11" s="254"/>
      <c r="H11" s="255"/>
      <c r="I11" s="255"/>
      <c r="J11" s="255"/>
      <c r="K11" s="2"/>
    </row>
    <row r="12" spans="1:13" ht="15" customHeight="1" x14ac:dyDescent="0.2">
      <c r="A12" s="256" t="s">
        <v>66</v>
      </c>
      <c r="B12" s="270" t="s">
        <v>153</v>
      </c>
      <c r="C12" s="276" t="s">
        <v>154</v>
      </c>
      <c r="D12" s="249">
        <f>C3-4</f>
        <v>146</v>
      </c>
      <c r="E12" s="236"/>
      <c r="F12" s="11">
        <f>C5*2</f>
        <v>2</v>
      </c>
      <c r="G12" s="254"/>
      <c r="H12" s="276" t="s">
        <v>154</v>
      </c>
      <c r="I12" s="270" t="s">
        <v>153</v>
      </c>
      <c r="J12" s="341">
        <f>(D12*2)+(D13*2)*C5</f>
        <v>562.79999999999995</v>
      </c>
      <c r="K12" s="2"/>
      <c r="L12" s="2"/>
    </row>
    <row r="13" spans="1:13" x14ac:dyDescent="0.2">
      <c r="A13" s="254"/>
      <c r="B13" s="254"/>
      <c r="C13" s="254"/>
      <c r="D13" s="249">
        <f>C4-14</f>
        <v>135.4</v>
      </c>
      <c r="E13" s="236"/>
      <c r="F13" s="11">
        <f>C5*1</f>
        <v>1</v>
      </c>
      <c r="G13" s="254"/>
      <c r="H13" s="254"/>
      <c r="I13" s="254"/>
      <c r="J13" s="254"/>
      <c r="K13" s="2"/>
    </row>
    <row r="14" spans="1:13" x14ac:dyDescent="0.2">
      <c r="A14" s="254"/>
      <c r="B14" s="255"/>
      <c r="C14" s="255"/>
      <c r="D14" s="249">
        <f>C4-14</f>
        <v>135.4</v>
      </c>
      <c r="E14" s="236"/>
      <c r="F14" s="11">
        <f>C5*1</f>
        <v>1</v>
      </c>
      <c r="G14" s="255"/>
      <c r="H14" s="255"/>
      <c r="I14" s="255"/>
      <c r="J14" s="255"/>
      <c r="K14" s="2"/>
    </row>
    <row r="15" spans="1:13" x14ac:dyDescent="0.2">
      <c r="A15" s="254"/>
      <c r="B15" s="59" t="s">
        <v>155</v>
      </c>
      <c r="C15" s="77" t="s">
        <v>156</v>
      </c>
      <c r="D15" s="249">
        <f t="shared" ref="D15:D16" si="0">$D$14</f>
        <v>135.4</v>
      </c>
      <c r="E15" s="236"/>
      <c r="F15" s="11">
        <f>C5*1</f>
        <v>1</v>
      </c>
      <c r="G15" s="59"/>
      <c r="H15" s="77" t="s">
        <v>156</v>
      </c>
      <c r="I15" s="59" t="s">
        <v>155</v>
      </c>
      <c r="J15" s="41">
        <f>D15*C5</f>
        <v>135.4</v>
      </c>
      <c r="K15" s="2"/>
    </row>
    <row r="16" spans="1:13" ht="36" x14ac:dyDescent="0.2">
      <c r="A16" s="254"/>
      <c r="B16" s="59" t="s">
        <v>157</v>
      </c>
      <c r="C16" s="13" t="s">
        <v>158</v>
      </c>
      <c r="D16" s="249">
        <f t="shared" si="0"/>
        <v>135.4</v>
      </c>
      <c r="E16" s="236"/>
      <c r="F16" s="11">
        <f>C5*1</f>
        <v>1</v>
      </c>
      <c r="G16" s="59">
        <v>90</v>
      </c>
      <c r="H16" s="13" t="s">
        <v>158</v>
      </c>
      <c r="I16" s="59" t="s">
        <v>157</v>
      </c>
      <c r="J16" s="127">
        <f>D16*C5</f>
        <v>135.4</v>
      </c>
      <c r="K16" s="2"/>
    </row>
    <row r="17" spans="1:13" ht="15" customHeight="1" x14ac:dyDescent="0.2">
      <c r="A17" s="254"/>
      <c r="B17" s="270" t="s">
        <v>159</v>
      </c>
      <c r="C17" s="344"/>
      <c r="D17" s="249">
        <v>3.4</v>
      </c>
      <c r="E17" s="236"/>
      <c r="F17" s="11">
        <f>C5*4</f>
        <v>4</v>
      </c>
      <c r="G17" s="270">
        <v>90</v>
      </c>
      <c r="H17" s="129"/>
      <c r="I17" s="130" t="s">
        <v>159</v>
      </c>
      <c r="J17" s="107">
        <f>(D17*4)+(D18*4)+(D19*4)*C5</f>
        <v>33.599999999999994</v>
      </c>
      <c r="K17" s="2"/>
    </row>
    <row r="18" spans="1:13" x14ac:dyDescent="0.2">
      <c r="A18" s="254"/>
      <c r="B18" s="254"/>
      <c r="C18" s="254"/>
      <c r="D18" s="249">
        <v>2.8</v>
      </c>
      <c r="E18" s="236"/>
      <c r="F18" s="11">
        <f>C5*4</f>
        <v>4</v>
      </c>
      <c r="G18" s="254"/>
      <c r="H18" s="129"/>
      <c r="I18" s="59"/>
      <c r="J18" s="107">
        <f>(D20*4)+(D21*2)+(D22*29)*C5</f>
        <v>2808.6</v>
      </c>
      <c r="K18" s="2"/>
      <c r="M18" s="2"/>
    </row>
    <row r="19" spans="1:13" x14ac:dyDescent="0.2">
      <c r="A19" s="255"/>
      <c r="B19" s="255"/>
      <c r="C19" s="255"/>
      <c r="D19" s="249">
        <v>2.2000000000000002</v>
      </c>
      <c r="E19" s="236"/>
      <c r="F19" s="11">
        <f>C5*4</f>
        <v>4</v>
      </c>
      <c r="G19" s="255"/>
      <c r="H19" s="32"/>
      <c r="I19" s="131"/>
      <c r="J19" s="2"/>
      <c r="K19" s="2"/>
    </row>
    <row r="20" spans="1:13" x14ac:dyDescent="0.2">
      <c r="A20" s="256" t="s">
        <v>160</v>
      </c>
      <c r="B20" s="59" t="s">
        <v>161</v>
      </c>
      <c r="C20" s="344"/>
      <c r="D20" s="249">
        <f>D13</f>
        <v>135.4</v>
      </c>
      <c r="E20" s="236"/>
      <c r="F20" s="11">
        <f>C5*4</f>
        <v>4</v>
      </c>
      <c r="G20" s="270">
        <v>90</v>
      </c>
      <c r="H20" s="32"/>
      <c r="I20" s="131"/>
      <c r="J20" s="132"/>
      <c r="K20" s="2"/>
    </row>
    <row r="21" spans="1:13" ht="15.75" customHeight="1" x14ac:dyDescent="0.2">
      <c r="A21" s="254"/>
      <c r="B21" s="59" t="s">
        <v>162</v>
      </c>
      <c r="C21" s="254"/>
      <c r="D21" s="249">
        <f>D10-104</f>
        <v>46</v>
      </c>
      <c r="E21" s="236"/>
      <c r="F21" s="11">
        <f>C5*2</f>
        <v>2</v>
      </c>
      <c r="G21" s="254"/>
      <c r="H21" s="32"/>
      <c r="I21" s="2"/>
      <c r="J21" s="132"/>
      <c r="K21" s="2"/>
    </row>
    <row r="22" spans="1:13" ht="15.75" customHeight="1" x14ac:dyDescent="0.2">
      <c r="A22" s="254"/>
      <c r="B22" s="59" t="s">
        <v>162</v>
      </c>
      <c r="C22" s="254"/>
      <c r="D22" s="249">
        <f>D10/2</f>
        <v>75</v>
      </c>
      <c r="E22" s="236"/>
      <c r="F22" s="11">
        <f>C5*2</f>
        <v>2</v>
      </c>
      <c r="G22" s="255"/>
      <c r="H22" s="32"/>
      <c r="I22" s="131"/>
      <c r="J22" s="2"/>
      <c r="K22" s="2"/>
    </row>
    <row r="23" spans="1:13" ht="15.75" customHeight="1" x14ac:dyDescent="0.2">
      <c r="A23" s="347" t="s">
        <v>163</v>
      </c>
      <c r="B23" s="16"/>
      <c r="C23" s="16" t="s">
        <v>3</v>
      </c>
      <c r="D23" s="345" t="s">
        <v>6</v>
      </c>
      <c r="E23" s="236"/>
      <c r="F23" s="16"/>
      <c r="G23" s="299"/>
      <c r="H23" s="32"/>
      <c r="I23" s="2"/>
      <c r="J23" s="2"/>
      <c r="K23" s="2"/>
    </row>
    <row r="24" spans="1:13" ht="15.75" customHeight="1" x14ac:dyDescent="0.2">
      <c r="A24" s="254"/>
      <c r="B24" s="15"/>
      <c r="C24" s="133">
        <f>(D12-25.8)/2</f>
        <v>60.1</v>
      </c>
      <c r="D24" s="235">
        <f>D13-0.8</f>
        <v>134.6</v>
      </c>
      <c r="E24" s="236"/>
      <c r="F24" s="16">
        <f>C5*1</f>
        <v>1</v>
      </c>
      <c r="G24" s="254"/>
      <c r="H24" s="32"/>
      <c r="I24" s="2"/>
      <c r="J24" s="2"/>
      <c r="K24" s="2"/>
    </row>
    <row r="25" spans="1:13" ht="15.75" customHeight="1" x14ac:dyDescent="0.2">
      <c r="A25" s="255"/>
      <c r="B25" s="15"/>
      <c r="C25" s="134">
        <f>(D12-13.4)/2</f>
        <v>66.3</v>
      </c>
      <c r="D25" s="235">
        <f>D24</f>
        <v>134.6</v>
      </c>
      <c r="E25" s="236"/>
      <c r="F25" s="16">
        <f>C5*1</f>
        <v>1</v>
      </c>
      <c r="G25" s="255"/>
      <c r="H25" s="32"/>
      <c r="I25" s="2"/>
      <c r="J25" s="2"/>
      <c r="K25" s="2"/>
    </row>
    <row r="26" spans="1:13" ht="15.75" customHeight="1" x14ac:dyDescent="0.2">
      <c r="A26" s="135" t="s">
        <v>164</v>
      </c>
      <c r="B26" s="11" t="s">
        <v>165</v>
      </c>
      <c r="C26" s="59"/>
      <c r="D26" s="249"/>
      <c r="E26" s="236"/>
      <c r="F26" s="51">
        <f>(C25*8)+(D25*8)*C5</f>
        <v>1607.1999999999998</v>
      </c>
      <c r="G26" s="59" t="s">
        <v>43</v>
      </c>
      <c r="H26" s="32"/>
      <c r="I26" s="2"/>
      <c r="J26" s="2"/>
      <c r="K26" s="2"/>
    </row>
    <row r="27" spans="1:13" ht="15.75" customHeight="1" x14ac:dyDescent="0.2">
      <c r="A27" s="286" t="s">
        <v>48</v>
      </c>
      <c r="B27" s="11" t="s">
        <v>166</v>
      </c>
      <c r="C27" s="11" t="s">
        <v>167</v>
      </c>
      <c r="D27" s="246"/>
      <c r="E27" s="236"/>
      <c r="F27" s="11">
        <f>C5*40</f>
        <v>40</v>
      </c>
      <c r="G27" s="11"/>
      <c r="H27" s="32"/>
      <c r="I27" s="2"/>
      <c r="J27" s="2"/>
      <c r="K27" s="2"/>
    </row>
    <row r="28" spans="1:13" ht="15.75" customHeight="1" x14ac:dyDescent="0.2">
      <c r="A28" s="255"/>
      <c r="B28" s="11" t="s">
        <v>166</v>
      </c>
      <c r="C28" s="11" t="s">
        <v>168</v>
      </c>
      <c r="D28" s="246"/>
      <c r="E28" s="236"/>
      <c r="F28" s="11">
        <f>C5*8</f>
        <v>8</v>
      </c>
      <c r="G28" s="11"/>
      <c r="H28" s="32"/>
      <c r="I28" s="2"/>
      <c r="J28" s="2"/>
      <c r="K28" s="2"/>
    </row>
    <row r="29" spans="1:13" ht="15.75" customHeight="1" x14ac:dyDescent="0.2">
      <c r="A29" s="286" t="s">
        <v>169</v>
      </c>
      <c r="B29" s="11" t="s">
        <v>170</v>
      </c>
      <c r="C29" s="11" t="s">
        <v>171</v>
      </c>
      <c r="D29" s="246"/>
      <c r="E29" s="236"/>
      <c r="F29" s="11">
        <f>C5*8</f>
        <v>8</v>
      </c>
      <c r="G29" s="11"/>
      <c r="H29" s="32"/>
      <c r="I29" s="2"/>
      <c r="J29" s="2"/>
      <c r="K29" s="2"/>
    </row>
    <row r="30" spans="1:13" ht="15.75" customHeight="1" x14ac:dyDescent="0.2">
      <c r="A30" s="255"/>
      <c r="B30" s="11" t="s">
        <v>172</v>
      </c>
      <c r="C30" s="11" t="s">
        <v>173</v>
      </c>
      <c r="D30" s="246"/>
      <c r="E30" s="236"/>
      <c r="F30" s="11">
        <f>C5*8</f>
        <v>8</v>
      </c>
      <c r="G30" s="11"/>
      <c r="H30" s="32"/>
      <c r="I30" s="2"/>
      <c r="J30" s="2"/>
      <c r="K30" s="2"/>
    </row>
    <row r="31" spans="1:13" ht="15.75" customHeight="1" x14ac:dyDescent="0.2">
      <c r="A31" s="136" t="s">
        <v>174</v>
      </c>
      <c r="B31" s="11" t="s">
        <v>175</v>
      </c>
      <c r="C31" s="11"/>
      <c r="D31" s="246"/>
      <c r="E31" s="236"/>
      <c r="F31" s="11">
        <f>C5*4</f>
        <v>4</v>
      </c>
      <c r="G31" s="11"/>
      <c r="H31" s="32"/>
      <c r="I31" s="2"/>
      <c r="J31" s="2"/>
      <c r="K31" s="2"/>
      <c r="L31" s="2"/>
    </row>
    <row r="32" spans="1:13" ht="15.75" customHeight="1" x14ac:dyDescent="0.2">
      <c r="A32" s="136" t="s">
        <v>176</v>
      </c>
      <c r="B32" s="11" t="s">
        <v>177</v>
      </c>
      <c r="C32" s="11"/>
      <c r="D32" s="246"/>
      <c r="E32" s="236"/>
      <c r="F32" s="11">
        <f>C5*1</f>
        <v>1</v>
      </c>
      <c r="G32" s="11"/>
      <c r="H32" s="32"/>
      <c r="I32" s="2"/>
      <c r="J32" s="2"/>
      <c r="K32" s="2"/>
    </row>
    <row r="33" spans="1:11" ht="15.75" customHeight="1" x14ac:dyDescent="0.2">
      <c r="A33" s="137" t="s">
        <v>56</v>
      </c>
      <c r="B33" s="348"/>
      <c r="C33" s="238"/>
      <c r="D33" s="238"/>
      <c r="E33" s="238"/>
      <c r="F33" s="238"/>
      <c r="G33" s="236"/>
      <c r="H33" s="32"/>
      <c r="I33" s="2"/>
      <c r="J33" s="2"/>
      <c r="K33" s="2"/>
    </row>
    <row r="34" spans="1:11" ht="15.75" customHeight="1" x14ac:dyDescent="0.2">
      <c r="A34" s="137" t="s">
        <v>57</v>
      </c>
      <c r="B34" s="349"/>
      <c r="C34" s="244"/>
      <c r="D34" s="244"/>
      <c r="E34" s="244"/>
      <c r="F34" s="244"/>
      <c r="G34" s="245"/>
      <c r="H34" s="32"/>
      <c r="I34" s="2"/>
      <c r="J34" s="2"/>
      <c r="K34" s="2"/>
    </row>
    <row r="35" spans="1:11" ht="15.75" customHeight="1" x14ac:dyDescent="0.2">
      <c r="A35" s="240" t="s">
        <v>58</v>
      </c>
      <c r="B35" s="241"/>
      <c r="C35" s="241"/>
      <c r="D35" s="241"/>
      <c r="E35" s="242"/>
      <c r="F35" s="239"/>
      <c r="G35" s="236"/>
      <c r="H35" s="32"/>
      <c r="I35" s="2"/>
      <c r="J35" s="2"/>
      <c r="K35" s="2"/>
    </row>
    <row r="36" spans="1:11" ht="15.75" customHeight="1" x14ac:dyDescent="0.2">
      <c r="A36" s="243"/>
      <c r="B36" s="244"/>
      <c r="C36" s="244"/>
      <c r="D36" s="244"/>
      <c r="E36" s="245"/>
      <c r="F36" s="239" t="s">
        <v>59</v>
      </c>
      <c r="G36" s="236"/>
      <c r="H36" s="32"/>
      <c r="I36" s="2"/>
      <c r="J36" s="2"/>
      <c r="K36" s="2"/>
    </row>
    <row r="37" spans="1:11" ht="15.75" customHeight="1" x14ac:dyDescent="0.2">
      <c r="A37" s="29"/>
      <c r="B37" s="30"/>
      <c r="C37" s="333"/>
      <c r="D37" s="251"/>
      <c r="E37" s="138"/>
      <c r="F37" s="138"/>
      <c r="G37" s="138"/>
      <c r="H37" s="32"/>
      <c r="I37" s="2"/>
      <c r="J37" s="2"/>
      <c r="K37" s="2"/>
    </row>
    <row r="38" spans="1:11" ht="15.75" customHeight="1" x14ac:dyDescent="0.2">
      <c r="A38" s="29"/>
      <c r="B38" s="30"/>
      <c r="C38" s="2"/>
      <c r="D38" s="138"/>
      <c r="E38" s="138"/>
      <c r="F38" s="138"/>
      <c r="G38" s="138"/>
      <c r="H38" s="32"/>
      <c r="I38" s="2"/>
      <c r="J38" s="2"/>
      <c r="K38" s="2"/>
    </row>
    <row r="39" spans="1:11" ht="15.75" customHeight="1" x14ac:dyDescent="0.2">
      <c r="A39" s="29"/>
      <c r="B39" s="30"/>
      <c r="C39" s="138"/>
      <c r="D39" s="138"/>
      <c r="E39" s="350"/>
      <c r="F39" s="138"/>
      <c r="G39" s="138"/>
      <c r="H39" s="32"/>
      <c r="I39" s="2"/>
      <c r="J39" s="2"/>
      <c r="K39" s="2"/>
    </row>
    <row r="40" spans="1:11" ht="15.75" customHeight="1" x14ac:dyDescent="0.2">
      <c r="A40" s="29"/>
      <c r="B40" s="30"/>
      <c r="C40" s="138"/>
      <c r="D40" s="138"/>
      <c r="E40" s="251"/>
      <c r="F40" s="138"/>
      <c r="G40" s="138"/>
      <c r="H40" s="32"/>
      <c r="I40" s="2"/>
      <c r="J40" s="2"/>
      <c r="K40" s="2"/>
    </row>
    <row r="41" spans="1:11" ht="15.75" customHeight="1" x14ac:dyDescent="0.2">
      <c r="A41" s="29"/>
      <c r="B41" s="30"/>
      <c r="C41" s="138"/>
      <c r="D41" s="138"/>
      <c r="E41" s="251"/>
      <c r="F41" s="138"/>
      <c r="G41" s="138"/>
      <c r="H41" s="32"/>
      <c r="I41" s="2"/>
      <c r="J41" s="2"/>
      <c r="K41" s="2"/>
    </row>
    <row r="42" spans="1:11" ht="15.75" customHeight="1" x14ac:dyDescent="0.2">
      <c r="A42" s="29"/>
      <c r="B42" s="30"/>
      <c r="C42" s="138"/>
      <c r="D42" s="138"/>
      <c r="E42" s="251"/>
      <c r="F42" s="138"/>
      <c r="G42" s="138"/>
      <c r="H42" s="32"/>
      <c r="I42" s="2"/>
      <c r="J42" s="2"/>
      <c r="K42" s="2"/>
    </row>
    <row r="43" spans="1:11" ht="15.75" customHeight="1" x14ac:dyDescent="0.2">
      <c r="A43" s="29"/>
      <c r="B43" s="30"/>
      <c r="C43" s="138"/>
      <c r="D43" s="138"/>
      <c r="E43" s="251"/>
      <c r="F43" s="138"/>
      <c r="G43" s="138"/>
      <c r="H43" s="32"/>
      <c r="I43" s="2"/>
      <c r="J43" s="2"/>
      <c r="K43" s="2"/>
    </row>
    <row r="44" spans="1:11" ht="15.75" customHeight="1" x14ac:dyDescent="0.25">
      <c r="A44" s="29"/>
      <c r="B44" s="30"/>
      <c r="C44" s="84">
        <f>C3</f>
        <v>150</v>
      </c>
      <c r="D44" s="138"/>
      <c r="E44" s="251"/>
      <c r="F44" s="138"/>
      <c r="G44" s="138"/>
      <c r="H44" s="32"/>
      <c r="I44" s="2"/>
      <c r="J44" s="2"/>
      <c r="K44" s="2"/>
    </row>
    <row r="45" spans="1:11" ht="15.75" customHeight="1" x14ac:dyDescent="0.2">
      <c r="A45" s="29"/>
      <c r="B45" s="30"/>
      <c r="C45" s="138"/>
      <c r="D45" s="138"/>
      <c r="E45" s="251"/>
      <c r="F45" s="138"/>
      <c r="G45" s="138"/>
      <c r="H45" s="32"/>
      <c r="I45" s="2"/>
      <c r="J45" s="2"/>
      <c r="K45" s="2"/>
    </row>
    <row r="46" spans="1:11" ht="15.75" customHeight="1" x14ac:dyDescent="0.2">
      <c r="A46" s="29"/>
      <c r="B46" s="30"/>
      <c r="C46" s="138"/>
      <c r="D46" s="138"/>
      <c r="E46" s="138"/>
      <c r="F46" s="138"/>
      <c r="G46" s="138"/>
      <c r="H46" s="32"/>
      <c r="I46" s="2"/>
      <c r="J46" s="2"/>
      <c r="K46" s="2"/>
    </row>
    <row r="47" spans="1:11" ht="15.75" customHeight="1" x14ac:dyDescent="0.2">
      <c r="A47" s="29"/>
      <c r="B47" s="30"/>
      <c r="C47" s="333"/>
      <c r="D47" s="251"/>
      <c r="E47" s="138"/>
      <c r="F47" s="138"/>
      <c r="G47" s="138"/>
      <c r="H47" s="32"/>
      <c r="I47" s="2"/>
      <c r="J47" s="2"/>
      <c r="K47" s="2"/>
    </row>
    <row r="48" spans="1:11" ht="15.75" customHeight="1" x14ac:dyDescent="0.2">
      <c r="A48" s="29"/>
      <c r="B48" s="30"/>
      <c r="C48" s="138"/>
      <c r="D48" s="138"/>
      <c r="E48" s="138"/>
      <c r="F48" s="138"/>
      <c r="G48" s="138"/>
      <c r="H48" s="32"/>
      <c r="I48" s="2"/>
      <c r="J48" s="2"/>
      <c r="K48" s="2"/>
    </row>
    <row r="49" spans="1:11" ht="15.75" customHeight="1" x14ac:dyDescent="0.2">
      <c r="A49" s="29"/>
      <c r="B49" s="30"/>
      <c r="C49" s="139"/>
      <c r="D49" s="138"/>
      <c r="E49" s="138"/>
      <c r="F49" s="138"/>
      <c r="G49" s="138"/>
      <c r="H49" s="32"/>
      <c r="K49" s="2"/>
    </row>
    <row r="50" spans="1:11" ht="15.75" customHeight="1" x14ac:dyDescent="0.2"/>
    <row r="51" spans="1:11" ht="15.75" customHeight="1" x14ac:dyDescent="0.3">
      <c r="B51" s="33">
        <f>C4</f>
        <v>149.4</v>
      </c>
    </row>
    <row r="52" spans="1:11" ht="15.75" customHeight="1" x14ac:dyDescent="0.2"/>
    <row r="53" spans="1:11" ht="15.75" customHeight="1" x14ac:dyDescent="0.2"/>
    <row r="54" spans="1:11" ht="15.75" customHeight="1" x14ac:dyDescent="0.2"/>
    <row r="55" spans="1:11" ht="15.75" customHeight="1" x14ac:dyDescent="0.2"/>
    <row r="56" spans="1:11" ht="15.75" customHeight="1" x14ac:dyDescent="0.2"/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72">
    <mergeCell ref="D31:E31"/>
    <mergeCell ref="D29:E29"/>
    <mergeCell ref="D30:E30"/>
    <mergeCell ref="C47:D47"/>
    <mergeCell ref="E39:E45"/>
    <mergeCell ref="C37:D37"/>
    <mergeCell ref="D32:E32"/>
    <mergeCell ref="G23:G25"/>
    <mergeCell ref="G20:G22"/>
    <mergeCell ref="G17:G19"/>
    <mergeCell ref="D27:E27"/>
    <mergeCell ref="D28:E28"/>
    <mergeCell ref="B10:B11"/>
    <mergeCell ref="A10:A11"/>
    <mergeCell ref="B12:B14"/>
    <mergeCell ref="B17:B19"/>
    <mergeCell ref="C17:C19"/>
    <mergeCell ref="B33:G33"/>
    <mergeCell ref="B34:G34"/>
    <mergeCell ref="A35:E36"/>
    <mergeCell ref="F36:G36"/>
    <mergeCell ref="F35:G35"/>
    <mergeCell ref="A23:A25"/>
    <mergeCell ref="A29:A30"/>
    <mergeCell ref="A27:A28"/>
    <mergeCell ref="A20:A22"/>
    <mergeCell ref="A12:A19"/>
    <mergeCell ref="A2:G2"/>
    <mergeCell ref="A4:B4"/>
    <mergeCell ref="A3:B3"/>
    <mergeCell ref="A5:B5"/>
    <mergeCell ref="A8:B9"/>
    <mergeCell ref="A6:B6"/>
    <mergeCell ref="A7:B7"/>
    <mergeCell ref="D8:E9"/>
    <mergeCell ref="D4:G4"/>
    <mergeCell ref="D5:G5"/>
    <mergeCell ref="D24:E24"/>
    <mergeCell ref="D26:E26"/>
    <mergeCell ref="D25:E25"/>
    <mergeCell ref="D23:E23"/>
    <mergeCell ref="D18:E18"/>
    <mergeCell ref="D19:E19"/>
    <mergeCell ref="D22:E22"/>
    <mergeCell ref="C8:C9"/>
    <mergeCell ref="J10:J11"/>
    <mergeCell ref="D21:E21"/>
    <mergeCell ref="D20:E20"/>
    <mergeCell ref="C20:C22"/>
    <mergeCell ref="D17:E17"/>
    <mergeCell ref="D16:E16"/>
    <mergeCell ref="D15:E15"/>
    <mergeCell ref="D11:E11"/>
    <mergeCell ref="D13:E13"/>
    <mergeCell ref="D14:E14"/>
    <mergeCell ref="D12:E12"/>
    <mergeCell ref="C10:C11"/>
    <mergeCell ref="D10:E10"/>
    <mergeCell ref="C12:C14"/>
    <mergeCell ref="G10:G14"/>
    <mergeCell ref="K2:M2"/>
    <mergeCell ref="D3:G3"/>
    <mergeCell ref="C7:G7"/>
    <mergeCell ref="C6:G6"/>
    <mergeCell ref="I12:I14"/>
    <mergeCell ref="J12:J14"/>
    <mergeCell ref="H12:H14"/>
    <mergeCell ref="H10:H11"/>
    <mergeCell ref="I10:I11"/>
    <mergeCell ref="H8:J8"/>
    <mergeCell ref="F8:F9"/>
    <mergeCell ref="G8:G9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"/>
  <sheetViews>
    <sheetView workbookViewId="0"/>
  </sheetViews>
  <sheetFormatPr defaultColWidth="14.390625" defaultRowHeight="15" customHeight="1" x14ac:dyDescent="0.2"/>
  <cols>
    <col min="1" max="1" width="8.609375" customWidth="1"/>
    <col min="2" max="2" width="18.29296875" customWidth="1"/>
    <col min="3" max="3" width="8.609375" customWidth="1"/>
    <col min="4" max="4" width="15.46875" customWidth="1"/>
    <col min="5" max="5" width="8.609375" customWidth="1"/>
    <col min="6" max="6" width="3.765625" customWidth="1"/>
    <col min="7" max="7" width="8.609375" customWidth="1"/>
    <col min="8" max="8" width="11.296875" customWidth="1"/>
    <col min="9" max="9" width="19.234375" hidden="1" customWidth="1"/>
    <col min="10" max="10" width="18.83203125" hidden="1" customWidth="1"/>
    <col min="11" max="11" width="16.6796875" hidden="1" customWidth="1"/>
  </cols>
  <sheetData>
    <row r="1" spans="1:11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  <c r="I1" s="3" t="s">
        <v>1</v>
      </c>
      <c r="J1" s="2"/>
      <c r="K1" s="2"/>
    </row>
    <row r="2" spans="1:11" ht="20.25" x14ac:dyDescent="0.25">
      <c r="A2" s="293" t="s">
        <v>178</v>
      </c>
      <c r="B2" s="238"/>
      <c r="C2" s="238"/>
      <c r="D2" s="238"/>
      <c r="E2" s="238"/>
      <c r="F2" s="238"/>
      <c r="G2" s="238"/>
      <c r="H2" s="236"/>
      <c r="I2" s="3"/>
      <c r="J2" s="2"/>
      <c r="K2" s="2"/>
    </row>
    <row r="3" spans="1:11" ht="21" x14ac:dyDescent="0.3">
      <c r="A3" s="239" t="s">
        <v>3</v>
      </c>
      <c r="B3" s="238"/>
      <c r="C3" s="236"/>
      <c r="D3" s="295">
        <v>121.5</v>
      </c>
      <c r="E3" s="236"/>
      <c r="F3" s="263" t="s">
        <v>4</v>
      </c>
      <c r="G3" s="238"/>
      <c r="H3" s="236"/>
      <c r="I3" s="5" t="s">
        <v>5</v>
      </c>
      <c r="J3" s="2"/>
      <c r="K3" s="2"/>
    </row>
    <row r="4" spans="1:11" ht="20.25" customHeight="1" x14ac:dyDescent="0.3">
      <c r="A4" s="278" t="s">
        <v>6</v>
      </c>
      <c r="B4" s="238"/>
      <c r="C4" s="236"/>
      <c r="D4" s="295">
        <v>176.6</v>
      </c>
      <c r="E4" s="236"/>
      <c r="F4" s="263" t="s">
        <v>4</v>
      </c>
      <c r="G4" s="238"/>
      <c r="H4" s="236"/>
      <c r="I4" s="5"/>
      <c r="J4" s="2"/>
      <c r="K4" s="2"/>
    </row>
    <row r="5" spans="1:11" ht="20.25" customHeight="1" x14ac:dyDescent="0.3">
      <c r="A5" s="278" t="s">
        <v>7</v>
      </c>
      <c r="B5" s="238"/>
      <c r="C5" s="236"/>
      <c r="D5" s="294">
        <v>1</v>
      </c>
      <c r="E5" s="236"/>
      <c r="F5" s="263"/>
      <c r="G5" s="238"/>
      <c r="H5" s="236"/>
      <c r="I5" s="140"/>
      <c r="J5" s="2"/>
      <c r="K5" s="2"/>
    </row>
    <row r="6" spans="1:11" ht="20.25" x14ac:dyDescent="0.25">
      <c r="A6" s="263" t="s">
        <v>72</v>
      </c>
      <c r="B6" s="236"/>
      <c r="C6" s="263"/>
      <c r="D6" s="238"/>
      <c r="E6" s="238"/>
      <c r="F6" s="238"/>
      <c r="G6" s="238"/>
      <c r="H6" s="236"/>
      <c r="J6" s="2"/>
      <c r="K6" s="2"/>
    </row>
    <row r="7" spans="1:11" ht="21" x14ac:dyDescent="0.3">
      <c r="A7" s="263" t="s">
        <v>9</v>
      </c>
      <c r="B7" s="236"/>
      <c r="C7" s="263"/>
      <c r="D7" s="238"/>
      <c r="E7" s="238"/>
      <c r="F7" s="238"/>
      <c r="G7" s="238"/>
      <c r="H7" s="236"/>
      <c r="I7" s="273" t="s">
        <v>15</v>
      </c>
      <c r="J7" s="238"/>
      <c r="K7" s="236"/>
    </row>
    <row r="8" spans="1:11" ht="24" x14ac:dyDescent="0.3">
      <c r="A8" s="278" t="s">
        <v>61</v>
      </c>
      <c r="B8" s="236"/>
      <c r="C8" s="71" t="s">
        <v>11</v>
      </c>
      <c r="D8" s="290" t="s">
        <v>12</v>
      </c>
      <c r="E8" s="238"/>
      <c r="F8" s="236"/>
      <c r="G8" s="72" t="s">
        <v>13</v>
      </c>
      <c r="H8" s="60" t="s">
        <v>84</v>
      </c>
      <c r="I8" s="39" t="s">
        <v>16</v>
      </c>
      <c r="J8" s="39" t="s">
        <v>17</v>
      </c>
      <c r="K8" s="39" t="s">
        <v>18</v>
      </c>
    </row>
    <row r="9" spans="1:11" x14ac:dyDescent="0.2">
      <c r="A9" s="289" t="s">
        <v>19</v>
      </c>
      <c r="B9" s="11" t="s">
        <v>20</v>
      </c>
      <c r="C9" s="11" t="s">
        <v>85</v>
      </c>
      <c r="D9" s="249">
        <f>D4</f>
        <v>176.6</v>
      </c>
      <c r="E9" s="238"/>
      <c r="F9" s="236"/>
      <c r="G9" s="59">
        <f>D5*1</f>
        <v>1</v>
      </c>
      <c r="H9" s="11">
        <v>90</v>
      </c>
      <c r="I9" s="11" t="s">
        <v>85</v>
      </c>
      <c r="J9" s="11" t="s">
        <v>135</v>
      </c>
      <c r="K9" s="41">
        <f>D9*D5</f>
        <v>176.6</v>
      </c>
    </row>
    <row r="10" spans="1:11" x14ac:dyDescent="0.2">
      <c r="A10" s="254"/>
      <c r="B10" s="11" t="s">
        <v>23</v>
      </c>
      <c r="C10" s="11" t="s">
        <v>87</v>
      </c>
      <c r="D10" s="249">
        <f>D4</f>
        <v>176.6</v>
      </c>
      <c r="E10" s="238"/>
      <c r="F10" s="236"/>
      <c r="G10" s="11">
        <f>D5*1</f>
        <v>1</v>
      </c>
      <c r="H10" s="11">
        <v>90</v>
      </c>
      <c r="I10" s="11" t="s">
        <v>87</v>
      </c>
      <c r="J10" s="11" t="s">
        <v>136</v>
      </c>
      <c r="K10" s="41">
        <f>D10*D5</f>
        <v>176.6</v>
      </c>
    </row>
    <row r="11" spans="1:11" x14ac:dyDescent="0.2">
      <c r="A11" s="255"/>
      <c r="B11" s="11" t="s">
        <v>26</v>
      </c>
      <c r="C11" s="11" t="s">
        <v>89</v>
      </c>
      <c r="D11" s="249">
        <f>D3-1</f>
        <v>120.5</v>
      </c>
      <c r="E11" s="238"/>
      <c r="F11" s="236"/>
      <c r="G11" s="11">
        <f>D5*2</f>
        <v>2</v>
      </c>
      <c r="H11" s="11">
        <v>90</v>
      </c>
      <c r="I11" s="11" t="s">
        <v>89</v>
      </c>
      <c r="J11" s="11" t="s">
        <v>137</v>
      </c>
      <c r="K11" s="41">
        <f>(D11*2)*D5</f>
        <v>241</v>
      </c>
    </row>
    <row r="12" spans="1:11" x14ac:dyDescent="0.2">
      <c r="A12" s="287" t="s">
        <v>91</v>
      </c>
      <c r="B12" s="11" t="s">
        <v>138</v>
      </c>
      <c r="C12" s="11" t="s">
        <v>93</v>
      </c>
      <c r="D12" s="249">
        <f>D3-2.3</f>
        <v>119.2</v>
      </c>
      <c r="E12" s="238"/>
      <c r="F12" s="236"/>
      <c r="G12" s="11">
        <f>D5*2</f>
        <v>2</v>
      </c>
      <c r="H12" s="11">
        <v>90</v>
      </c>
      <c r="I12" s="11" t="s">
        <v>93</v>
      </c>
      <c r="J12" s="11" t="s">
        <v>138</v>
      </c>
      <c r="K12" s="41">
        <f>(D12*2)*D5</f>
        <v>238.4</v>
      </c>
    </row>
    <row r="13" spans="1:11" x14ac:dyDescent="0.2">
      <c r="A13" s="254"/>
      <c r="B13" s="11" t="s">
        <v>139</v>
      </c>
      <c r="C13" s="11" t="s">
        <v>95</v>
      </c>
      <c r="D13" s="249">
        <f>D3-2.3</f>
        <v>119.2</v>
      </c>
      <c r="E13" s="238"/>
      <c r="F13" s="236"/>
      <c r="G13" s="11">
        <f>D5*2</f>
        <v>2</v>
      </c>
      <c r="H13" s="11">
        <v>90</v>
      </c>
      <c r="I13" s="11" t="s">
        <v>95</v>
      </c>
      <c r="J13" s="11" t="s">
        <v>139</v>
      </c>
      <c r="K13" s="41">
        <f>(D13*2)*D5</f>
        <v>238.4</v>
      </c>
    </row>
    <row r="14" spans="1:11" x14ac:dyDescent="0.2">
      <c r="A14" s="254"/>
      <c r="B14" s="11" t="s">
        <v>96</v>
      </c>
      <c r="C14" s="11" t="s">
        <v>97</v>
      </c>
      <c r="D14" s="249">
        <f>(D4-0.5)/2</f>
        <v>88.05</v>
      </c>
      <c r="E14" s="238"/>
      <c r="F14" s="236"/>
      <c r="G14" s="11">
        <f>D5*2</f>
        <v>2</v>
      </c>
      <c r="H14" s="11">
        <v>90</v>
      </c>
      <c r="I14" s="11" t="s">
        <v>97</v>
      </c>
      <c r="J14" s="11" t="s">
        <v>96</v>
      </c>
      <c r="K14" s="41">
        <f>(D14*2)*D5</f>
        <v>176.1</v>
      </c>
    </row>
    <row r="15" spans="1:11" x14ac:dyDescent="0.2">
      <c r="A15" s="255"/>
      <c r="B15" s="11" t="s">
        <v>99</v>
      </c>
      <c r="C15" s="11" t="s">
        <v>100</v>
      </c>
      <c r="D15" s="249">
        <f>(D4-0.5)/2</f>
        <v>88.05</v>
      </c>
      <c r="E15" s="238"/>
      <c r="F15" s="236"/>
      <c r="G15" s="11">
        <f>D5*2</f>
        <v>2</v>
      </c>
      <c r="H15" s="11">
        <v>90</v>
      </c>
      <c r="I15" s="11" t="s">
        <v>100</v>
      </c>
      <c r="J15" s="11" t="s">
        <v>99</v>
      </c>
      <c r="K15" s="107">
        <f>D15*2*D5</f>
        <v>176.1</v>
      </c>
    </row>
    <row r="16" spans="1:11" x14ac:dyDescent="0.2">
      <c r="A16" s="260" t="s">
        <v>39</v>
      </c>
      <c r="B16" s="260" t="s">
        <v>102</v>
      </c>
      <c r="C16" s="268"/>
      <c r="D16" s="292" t="s">
        <v>3</v>
      </c>
      <c r="E16" s="291" t="s">
        <v>41</v>
      </c>
      <c r="F16" s="242"/>
      <c r="G16" s="299"/>
      <c r="H16" s="299"/>
      <c r="I16" s="141"/>
      <c r="J16" s="2"/>
      <c r="K16" s="2"/>
    </row>
    <row r="17" spans="1:11" x14ac:dyDescent="0.2">
      <c r="A17" s="254"/>
      <c r="B17" s="254"/>
      <c r="C17" s="254"/>
      <c r="D17" s="255"/>
      <c r="E17" s="243"/>
      <c r="F17" s="245"/>
      <c r="G17" s="255"/>
      <c r="H17" s="254"/>
      <c r="I17" s="351"/>
      <c r="J17" s="2"/>
      <c r="K17" s="2"/>
    </row>
    <row r="18" spans="1:11" x14ac:dyDescent="0.2">
      <c r="A18" s="255"/>
      <c r="B18" s="255"/>
      <c r="C18" s="255"/>
      <c r="D18" s="17">
        <f>D3-10.2</f>
        <v>111.3</v>
      </c>
      <c r="E18" s="235">
        <f>D14-6.3</f>
        <v>81.75</v>
      </c>
      <c r="F18" s="236"/>
      <c r="G18" s="16">
        <f>D5*2</f>
        <v>2</v>
      </c>
      <c r="H18" s="255"/>
      <c r="I18" s="251"/>
      <c r="J18" s="2"/>
      <c r="K18" s="2"/>
    </row>
    <row r="19" spans="1:11" x14ac:dyDescent="0.2">
      <c r="A19" s="76" t="s">
        <v>42</v>
      </c>
      <c r="B19" s="11">
        <v>8025</v>
      </c>
      <c r="C19" s="11"/>
      <c r="D19" s="249"/>
      <c r="E19" s="238"/>
      <c r="F19" s="236"/>
      <c r="G19" s="51">
        <f>(D18*4)+(E18*4)*D5</f>
        <v>772.2</v>
      </c>
      <c r="H19" s="11" t="s">
        <v>43</v>
      </c>
      <c r="I19" s="141"/>
      <c r="J19" s="2"/>
      <c r="K19" s="2"/>
    </row>
    <row r="20" spans="1:11" x14ac:dyDescent="0.2">
      <c r="A20" s="300" t="s">
        <v>44</v>
      </c>
      <c r="B20" s="11" t="s">
        <v>103</v>
      </c>
      <c r="C20" s="11"/>
      <c r="D20" s="246"/>
      <c r="E20" s="238"/>
      <c r="F20" s="236"/>
      <c r="G20" s="11">
        <f>D5*12</f>
        <v>12</v>
      </c>
      <c r="H20" s="11"/>
      <c r="I20" s="351"/>
      <c r="J20" s="2"/>
      <c r="K20" s="2"/>
    </row>
    <row r="21" spans="1:11" ht="15.75" customHeight="1" x14ac:dyDescent="0.2">
      <c r="A21" s="254"/>
      <c r="B21" s="11" t="s">
        <v>104</v>
      </c>
      <c r="C21" s="11"/>
      <c r="D21" s="246"/>
      <c r="E21" s="238"/>
      <c r="F21" s="236"/>
      <c r="G21" s="11">
        <f>D5*10</f>
        <v>10</v>
      </c>
      <c r="H21" s="11"/>
      <c r="I21" s="251"/>
      <c r="J21" s="2"/>
      <c r="K21" s="2">
        <f>3.8+5.9-1.5</f>
        <v>8.1999999999999993</v>
      </c>
    </row>
    <row r="22" spans="1:11" ht="15.75" customHeight="1" x14ac:dyDescent="0.2">
      <c r="A22" s="255"/>
      <c r="B22" s="11" t="s">
        <v>105</v>
      </c>
      <c r="C22" s="11"/>
      <c r="D22" s="246"/>
      <c r="E22" s="238"/>
      <c r="F22" s="236"/>
      <c r="G22" s="11">
        <f>D5*6</f>
        <v>6</v>
      </c>
      <c r="H22" s="11"/>
      <c r="I22" s="251"/>
      <c r="J22" s="2"/>
      <c r="K22" s="2"/>
    </row>
    <row r="23" spans="1:11" ht="15.75" customHeight="1" x14ac:dyDescent="0.2">
      <c r="A23" s="76" t="s">
        <v>70</v>
      </c>
      <c r="B23" s="11" t="s">
        <v>106</v>
      </c>
      <c r="C23" s="11"/>
      <c r="D23" s="246"/>
      <c r="E23" s="238"/>
      <c r="F23" s="236"/>
      <c r="G23" s="11">
        <f>D5*10</f>
        <v>10</v>
      </c>
      <c r="H23" s="11"/>
      <c r="I23" s="141"/>
      <c r="J23" s="2"/>
      <c r="K23" s="2"/>
    </row>
    <row r="24" spans="1:11" ht="15.75" customHeight="1" x14ac:dyDescent="0.2">
      <c r="A24" s="78" t="s">
        <v>50</v>
      </c>
      <c r="B24" s="11" t="s">
        <v>179</v>
      </c>
      <c r="C24" s="11"/>
      <c r="D24" s="246"/>
      <c r="E24" s="238"/>
      <c r="F24" s="236"/>
      <c r="G24" s="11">
        <f>D5*2</f>
        <v>2</v>
      </c>
      <c r="H24" s="11"/>
      <c r="I24" s="141"/>
      <c r="J24" s="2"/>
      <c r="K24" s="2"/>
    </row>
    <row r="25" spans="1:11" ht="15.75" customHeight="1" x14ac:dyDescent="0.2">
      <c r="A25" s="300" t="s">
        <v>53</v>
      </c>
      <c r="B25" s="11" t="s">
        <v>180</v>
      </c>
      <c r="C25" s="11"/>
      <c r="D25" s="246"/>
      <c r="E25" s="238"/>
      <c r="F25" s="236"/>
      <c r="G25" s="11">
        <f>D5*2</f>
        <v>2</v>
      </c>
      <c r="H25" s="11"/>
      <c r="I25" s="351"/>
      <c r="J25" s="2"/>
      <c r="K25" s="2"/>
    </row>
    <row r="26" spans="1:11" ht="15.75" customHeight="1" x14ac:dyDescent="0.2">
      <c r="A26" s="255"/>
      <c r="B26" s="11" t="s">
        <v>181</v>
      </c>
      <c r="C26" s="11"/>
      <c r="D26" s="246"/>
      <c r="E26" s="238"/>
      <c r="F26" s="236"/>
      <c r="G26" s="11">
        <f>D5*2</f>
        <v>2</v>
      </c>
      <c r="H26" s="11"/>
      <c r="I26" s="251"/>
      <c r="J26" s="2"/>
      <c r="K26" s="2"/>
    </row>
    <row r="27" spans="1:11" ht="15.75" customHeight="1" x14ac:dyDescent="0.2">
      <c r="A27" s="76" t="s">
        <v>54</v>
      </c>
      <c r="B27" s="11" t="s">
        <v>110</v>
      </c>
      <c r="C27" s="11"/>
      <c r="D27" s="246"/>
      <c r="E27" s="238"/>
      <c r="F27" s="236"/>
      <c r="G27" s="11">
        <f>D5*1</f>
        <v>1</v>
      </c>
      <c r="H27" s="11"/>
      <c r="I27" s="141"/>
      <c r="J27" s="2"/>
      <c r="K27" s="2"/>
    </row>
    <row r="28" spans="1:11" ht="15.75" customHeight="1" x14ac:dyDescent="0.2">
      <c r="A28" s="239" t="s">
        <v>56</v>
      </c>
      <c r="B28" s="236"/>
      <c r="C28" s="239"/>
      <c r="D28" s="238"/>
      <c r="E28" s="238"/>
      <c r="F28" s="238"/>
      <c r="G28" s="238"/>
      <c r="H28" s="236"/>
      <c r="I28" s="141"/>
      <c r="J28" s="2"/>
      <c r="K28" s="2"/>
    </row>
    <row r="29" spans="1:11" ht="15.75" customHeight="1" x14ac:dyDescent="0.2">
      <c r="A29" s="239" t="s">
        <v>57</v>
      </c>
      <c r="B29" s="236"/>
      <c r="C29" s="239"/>
      <c r="D29" s="238"/>
      <c r="E29" s="238"/>
      <c r="F29" s="238"/>
      <c r="G29" s="238"/>
      <c r="H29" s="236"/>
      <c r="I29" s="141"/>
      <c r="J29" s="2"/>
      <c r="K29" s="2"/>
    </row>
    <row r="30" spans="1:11" ht="15" customHeight="1" x14ac:dyDescent="0.2">
      <c r="A30" s="271" t="s">
        <v>58</v>
      </c>
      <c r="B30" s="251"/>
      <c r="C30" s="251"/>
      <c r="D30" s="251"/>
      <c r="E30" s="272"/>
      <c r="F30" s="239"/>
      <c r="G30" s="238"/>
      <c r="H30" s="236"/>
      <c r="I30" s="32"/>
      <c r="J30" s="2"/>
      <c r="K30" s="2"/>
    </row>
    <row r="31" spans="1:11" ht="15.75" customHeight="1" x14ac:dyDescent="0.2">
      <c r="A31" s="243"/>
      <c r="B31" s="244"/>
      <c r="C31" s="244"/>
      <c r="D31" s="244"/>
      <c r="E31" s="245"/>
      <c r="F31" s="239" t="s">
        <v>59</v>
      </c>
      <c r="G31" s="238"/>
      <c r="H31" s="236"/>
      <c r="I31" s="2"/>
      <c r="J31" s="2"/>
      <c r="K31" s="2"/>
    </row>
    <row r="32" spans="1:11" ht="15.75" customHeight="1" x14ac:dyDescent="0.25">
      <c r="A32" s="79"/>
      <c r="B32" s="2"/>
      <c r="C32" s="2"/>
      <c r="D32" s="2"/>
      <c r="E32" s="2"/>
      <c r="F32" s="2"/>
      <c r="G32" s="2"/>
      <c r="H32" s="30"/>
      <c r="I32" s="2"/>
      <c r="J32" s="2"/>
      <c r="K32" s="2"/>
    </row>
    <row r="33" spans="1:11" ht="15.75" customHeight="1" x14ac:dyDescent="0.25">
      <c r="A33" s="79"/>
      <c r="B33" s="2"/>
      <c r="C33" s="54"/>
      <c r="D33" s="2"/>
      <c r="E33" s="2"/>
      <c r="F33" s="2"/>
      <c r="G33" s="2"/>
      <c r="H33" s="30"/>
      <c r="I33" s="2"/>
      <c r="J33" s="2"/>
      <c r="K33" s="2"/>
    </row>
    <row r="34" spans="1:11" ht="15.75" customHeight="1" x14ac:dyDescent="0.25">
      <c r="A34" s="79"/>
      <c r="B34" s="2"/>
      <c r="C34" s="2"/>
      <c r="D34" s="2"/>
      <c r="E34" s="2"/>
      <c r="F34" s="2"/>
      <c r="G34" s="142"/>
      <c r="H34" s="30"/>
      <c r="I34" s="2"/>
      <c r="J34" s="2"/>
      <c r="K34" s="2"/>
    </row>
    <row r="35" spans="1:11" ht="15.75" customHeight="1" x14ac:dyDescent="0.25">
      <c r="A35" s="79"/>
      <c r="B35" s="2"/>
      <c r="C35" s="2"/>
      <c r="D35" s="2"/>
      <c r="E35" s="2"/>
      <c r="F35" s="2"/>
      <c r="G35" s="143"/>
      <c r="H35" s="30"/>
      <c r="I35" s="2"/>
      <c r="J35" s="2"/>
      <c r="K35" s="2"/>
    </row>
    <row r="36" spans="1:11" ht="15.75" customHeight="1" x14ac:dyDescent="0.3">
      <c r="A36" s="79"/>
      <c r="B36" s="2"/>
      <c r="C36" s="2"/>
      <c r="D36" s="2"/>
      <c r="E36" s="252">
        <f>D3</f>
        <v>121.5</v>
      </c>
      <c r="F36" s="251"/>
      <c r="G36" s="251"/>
      <c r="H36" s="30"/>
      <c r="I36" s="2"/>
      <c r="J36" s="2"/>
      <c r="K36" s="2"/>
    </row>
    <row r="37" spans="1:11" ht="15.75" customHeight="1" x14ac:dyDescent="0.25">
      <c r="A37" s="79"/>
      <c r="B37" s="2"/>
      <c r="C37" s="2"/>
      <c r="D37" s="2"/>
      <c r="E37" s="2"/>
      <c r="F37" s="2"/>
      <c r="G37" s="143"/>
      <c r="H37" s="30"/>
      <c r="I37" s="2"/>
      <c r="J37" s="2"/>
      <c r="K37" s="2"/>
    </row>
    <row r="38" spans="1:11" ht="15.75" customHeight="1" x14ac:dyDescent="0.25">
      <c r="A38" s="79"/>
      <c r="B38" s="2"/>
      <c r="C38" s="2"/>
      <c r="D38" s="2"/>
      <c r="E38" s="2"/>
      <c r="F38" s="2"/>
      <c r="G38" s="143"/>
      <c r="H38" s="30"/>
      <c r="I38" s="2"/>
      <c r="J38" s="2"/>
      <c r="K38" s="2"/>
    </row>
    <row r="39" spans="1:11" ht="15.75" customHeight="1" x14ac:dyDescent="0.25">
      <c r="A39" s="79"/>
      <c r="B39" s="2"/>
      <c r="C39" s="2"/>
      <c r="D39" s="2"/>
      <c r="E39" s="2"/>
      <c r="F39" s="2"/>
      <c r="G39" s="143"/>
      <c r="H39" s="30"/>
      <c r="I39" s="2"/>
      <c r="J39" s="2"/>
      <c r="K39" s="2"/>
    </row>
    <row r="40" spans="1:11" ht="15.75" customHeight="1" x14ac:dyDescent="0.25">
      <c r="A40" s="79"/>
      <c r="B40" s="2"/>
      <c r="C40" s="2"/>
      <c r="D40" s="2"/>
      <c r="E40" s="2"/>
      <c r="F40" s="2"/>
      <c r="G40" s="143"/>
      <c r="H40" s="30"/>
      <c r="I40" s="2"/>
      <c r="J40" s="2"/>
      <c r="K40" s="2"/>
    </row>
    <row r="41" spans="1:11" ht="15.75" customHeight="1" x14ac:dyDescent="0.3">
      <c r="A41" s="79"/>
      <c r="B41" s="2"/>
      <c r="C41" s="252">
        <f>D4</f>
        <v>176.6</v>
      </c>
      <c r="D41" s="251"/>
      <c r="E41" s="251"/>
      <c r="F41" s="2"/>
      <c r="G41" s="143"/>
      <c r="H41" s="30"/>
      <c r="I41" s="2"/>
      <c r="J41" s="2"/>
      <c r="K41" s="2"/>
    </row>
    <row r="42" spans="1:11" ht="15.75" customHeight="1" x14ac:dyDescent="0.25">
      <c r="A42" s="79"/>
      <c r="B42" s="2"/>
      <c r="C42" s="54"/>
      <c r="D42" s="2"/>
      <c r="E42" s="2"/>
      <c r="F42" s="2"/>
      <c r="G42" s="2"/>
      <c r="H42" s="30"/>
      <c r="I42" s="2"/>
      <c r="J42" s="2"/>
      <c r="K42" s="2"/>
    </row>
    <row r="43" spans="1:11" ht="15.75" customHeight="1" x14ac:dyDescent="0.25">
      <c r="A43" s="79"/>
      <c r="B43" s="2"/>
      <c r="C43" s="2"/>
      <c r="D43" s="2"/>
      <c r="E43" s="2"/>
      <c r="F43" s="2"/>
      <c r="G43" s="2"/>
      <c r="H43" s="30"/>
      <c r="I43" s="2"/>
      <c r="J43" s="2"/>
      <c r="K43" s="2"/>
    </row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8">
    <mergeCell ref="A29:B29"/>
    <mergeCell ref="A28:B28"/>
    <mergeCell ref="F31:H31"/>
    <mergeCell ref="F30:H30"/>
    <mergeCell ref="D26:F26"/>
    <mergeCell ref="D27:F27"/>
    <mergeCell ref="C28:H28"/>
    <mergeCell ref="C29:H29"/>
    <mergeCell ref="A30:E31"/>
    <mergeCell ref="I7:K7"/>
    <mergeCell ref="C7:H7"/>
    <mergeCell ref="D25:F25"/>
    <mergeCell ref="A25:A26"/>
    <mergeCell ref="D24:F24"/>
    <mergeCell ref="D23:F23"/>
    <mergeCell ref="I25:I26"/>
    <mergeCell ref="A7:B7"/>
    <mergeCell ref="A8:B8"/>
    <mergeCell ref="A9:A11"/>
    <mergeCell ref="D10:F10"/>
    <mergeCell ref="D11:F11"/>
    <mergeCell ref="D12:F12"/>
    <mergeCell ref="A12:A15"/>
    <mergeCell ref="F5:H5"/>
    <mergeCell ref="C6:H6"/>
    <mergeCell ref="E36:G36"/>
    <mergeCell ref="C41:E41"/>
    <mergeCell ref="D13:F13"/>
    <mergeCell ref="D14:F14"/>
    <mergeCell ref="D16:D17"/>
    <mergeCell ref="D15:F15"/>
    <mergeCell ref="D9:F9"/>
    <mergeCell ref="F3:H3"/>
    <mergeCell ref="F4:H4"/>
    <mergeCell ref="A1:H1"/>
    <mergeCell ref="A2:H2"/>
    <mergeCell ref="A6:B6"/>
    <mergeCell ref="D8:F8"/>
    <mergeCell ref="A5:C5"/>
    <mergeCell ref="D5:E5"/>
    <mergeCell ref="D4:E4"/>
    <mergeCell ref="A4:C4"/>
    <mergeCell ref="D3:E3"/>
    <mergeCell ref="A3:C3"/>
    <mergeCell ref="G16:G17"/>
    <mergeCell ref="H16:H18"/>
    <mergeCell ref="I17:I18"/>
    <mergeCell ref="I20:I22"/>
    <mergeCell ref="D20:F20"/>
    <mergeCell ref="D19:F19"/>
    <mergeCell ref="A16:A18"/>
    <mergeCell ref="B16:B18"/>
    <mergeCell ref="D22:F22"/>
    <mergeCell ref="D21:F21"/>
    <mergeCell ref="E16:F17"/>
    <mergeCell ref="E18:F18"/>
    <mergeCell ref="A20:A22"/>
    <mergeCell ref="C16:C18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"/>
  <sheetViews>
    <sheetView workbookViewId="0"/>
  </sheetViews>
  <sheetFormatPr defaultColWidth="14.390625" defaultRowHeight="15" customHeight="1" x14ac:dyDescent="0.2"/>
  <cols>
    <col min="1" max="1" width="29.86328125" customWidth="1"/>
    <col min="2" max="2" width="20.3125" customWidth="1"/>
    <col min="3" max="3" width="11.43359375" customWidth="1"/>
    <col min="4" max="4" width="7.26171875" customWidth="1"/>
    <col min="5" max="5" width="7.53125" customWidth="1"/>
    <col min="6" max="6" width="8.875" customWidth="1"/>
    <col min="7" max="7" width="11.02734375" customWidth="1"/>
    <col min="8" max="8" width="18.6953125" customWidth="1"/>
    <col min="9" max="9" width="22.8671875" customWidth="1"/>
    <col min="10" max="10" width="15.33203125" customWidth="1"/>
    <col min="11" max="13" width="8.609375" customWidth="1"/>
  </cols>
  <sheetData>
    <row r="1" spans="1:12" ht="23.25" x14ac:dyDescent="0.3">
      <c r="A1" s="119" t="s">
        <v>182</v>
      </c>
      <c r="B1" s="144"/>
      <c r="C1" s="144"/>
      <c r="D1" s="144"/>
      <c r="E1" s="144"/>
      <c r="F1" s="144"/>
      <c r="G1" s="144"/>
      <c r="H1" s="145" t="s">
        <v>1</v>
      </c>
      <c r="I1" s="2"/>
      <c r="J1" s="2"/>
    </row>
    <row r="2" spans="1:12" ht="21" x14ac:dyDescent="0.3">
      <c r="A2" s="261" t="s">
        <v>149</v>
      </c>
      <c r="B2" s="238"/>
      <c r="C2" s="238"/>
      <c r="D2" s="238"/>
      <c r="E2" s="238"/>
      <c r="F2" s="238"/>
      <c r="G2" s="236"/>
      <c r="H2" s="145">
        <f>C4*C3*22*C5</f>
        <v>880000</v>
      </c>
      <c r="I2" s="2"/>
      <c r="J2" s="2"/>
    </row>
    <row r="3" spans="1:12" ht="21" x14ac:dyDescent="0.3">
      <c r="A3" s="263" t="s">
        <v>3</v>
      </c>
      <c r="B3" s="236"/>
      <c r="C3" s="4">
        <v>200</v>
      </c>
      <c r="D3" s="330" t="s">
        <v>4</v>
      </c>
      <c r="E3" s="238"/>
      <c r="F3" s="238"/>
      <c r="G3" s="236"/>
      <c r="H3" s="1" t="s">
        <v>5</v>
      </c>
      <c r="I3" s="2"/>
      <c r="J3" s="2"/>
    </row>
    <row r="4" spans="1:12" ht="21" x14ac:dyDescent="0.3">
      <c r="A4" s="247" t="s">
        <v>6</v>
      </c>
      <c r="B4" s="236"/>
      <c r="C4" s="4">
        <v>200</v>
      </c>
      <c r="D4" s="330" t="s">
        <v>4</v>
      </c>
      <c r="E4" s="238"/>
      <c r="F4" s="238"/>
      <c r="G4" s="236"/>
      <c r="H4" s="1">
        <f>C4*C3*C5</f>
        <v>40000</v>
      </c>
      <c r="I4" s="2"/>
      <c r="J4" s="2"/>
    </row>
    <row r="5" spans="1:12" ht="21" x14ac:dyDescent="0.3">
      <c r="A5" s="247" t="s">
        <v>7</v>
      </c>
      <c r="B5" s="236"/>
      <c r="C5" s="125">
        <v>1</v>
      </c>
      <c r="D5" s="263"/>
      <c r="E5" s="238"/>
      <c r="F5" s="238"/>
      <c r="G5" s="236"/>
      <c r="H5" s="37"/>
      <c r="I5" s="2"/>
      <c r="J5" s="2"/>
    </row>
    <row r="6" spans="1:12" ht="21" customHeight="1" x14ac:dyDescent="0.25">
      <c r="A6" s="263" t="s">
        <v>72</v>
      </c>
      <c r="B6" s="236"/>
      <c r="C6" s="330"/>
      <c r="D6" s="238"/>
      <c r="E6" s="238"/>
      <c r="F6" s="238"/>
      <c r="G6" s="236"/>
      <c r="I6" s="2"/>
      <c r="J6" s="2"/>
    </row>
    <row r="7" spans="1:12" ht="19.5" customHeight="1" x14ac:dyDescent="0.3">
      <c r="A7" s="263" t="s">
        <v>183</v>
      </c>
      <c r="B7" s="236"/>
      <c r="C7" s="263"/>
      <c r="D7" s="238"/>
      <c r="E7" s="238"/>
      <c r="F7" s="238"/>
      <c r="G7" s="236"/>
      <c r="H7" s="273" t="s">
        <v>15</v>
      </c>
      <c r="I7" s="238"/>
      <c r="J7" s="236"/>
    </row>
    <row r="8" spans="1:12" ht="18.75" customHeight="1" x14ac:dyDescent="0.3">
      <c r="A8" s="248" t="s">
        <v>10</v>
      </c>
      <c r="B8" s="242"/>
      <c r="C8" s="253" t="s">
        <v>11</v>
      </c>
      <c r="D8" s="346" t="s">
        <v>150</v>
      </c>
      <c r="E8" s="242"/>
      <c r="F8" s="270" t="s">
        <v>13</v>
      </c>
      <c r="G8" s="342" t="s">
        <v>14</v>
      </c>
      <c r="H8" s="39" t="s">
        <v>16</v>
      </c>
      <c r="I8" s="39" t="s">
        <v>17</v>
      </c>
      <c r="J8" s="39" t="s">
        <v>18</v>
      </c>
      <c r="L8" s="30"/>
    </row>
    <row r="9" spans="1:12" ht="21" customHeight="1" x14ac:dyDescent="0.2">
      <c r="A9" s="243"/>
      <c r="B9" s="245"/>
      <c r="C9" s="255"/>
      <c r="D9" s="243"/>
      <c r="E9" s="245"/>
      <c r="F9" s="255"/>
      <c r="G9" s="255"/>
      <c r="H9" s="270" t="s">
        <v>152</v>
      </c>
      <c r="I9" s="270" t="s">
        <v>151</v>
      </c>
      <c r="J9" s="353">
        <f>(D10*2)+D11*C5</f>
        <v>595</v>
      </c>
    </row>
    <row r="10" spans="1:12" ht="15" customHeight="1" x14ac:dyDescent="0.15">
      <c r="A10" s="256" t="s">
        <v>19</v>
      </c>
      <c r="B10" s="270" t="s">
        <v>184</v>
      </c>
      <c r="C10" s="270"/>
      <c r="D10" s="249">
        <f>C3</f>
        <v>200</v>
      </c>
      <c r="E10" s="236"/>
      <c r="F10" s="11">
        <f>C5*2</f>
        <v>2</v>
      </c>
      <c r="G10" s="270">
        <v>90</v>
      </c>
      <c r="H10" s="255"/>
      <c r="I10" s="255"/>
      <c r="J10" s="255"/>
    </row>
    <row r="11" spans="1:12" ht="15" customHeight="1" x14ac:dyDescent="0.15">
      <c r="A11" s="255"/>
      <c r="B11" s="255"/>
      <c r="C11" s="254"/>
      <c r="D11" s="249">
        <f>C4-5</f>
        <v>195</v>
      </c>
      <c r="E11" s="236"/>
      <c r="F11" s="11">
        <f>C5*1</f>
        <v>1</v>
      </c>
      <c r="G11" s="254"/>
      <c r="H11" s="276" t="s">
        <v>154</v>
      </c>
      <c r="I11" s="270" t="s">
        <v>153</v>
      </c>
      <c r="J11" s="352">
        <f>(D12*4)+(D13*2)+(D14*2)*C5</f>
        <v>1171</v>
      </c>
    </row>
    <row r="12" spans="1:12" ht="15" customHeight="1" x14ac:dyDescent="0.15">
      <c r="A12" s="256" t="s">
        <v>66</v>
      </c>
      <c r="B12" s="270" t="s">
        <v>153</v>
      </c>
      <c r="C12" s="276" t="s">
        <v>154</v>
      </c>
      <c r="D12" s="249">
        <f>C3-4</f>
        <v>196</v>
      </c>
      <c r="E12" s="236"/>
      <c r="F12" s="11">
        <f>C5*4</f>
        <v>4</v>
      </c>
      <c r="G12" s="254"/>
      <c r="H12" s="254"/>
      <c r="I12" s="254"/>
      <c r="J12" s="254"/>
    </row>
    <row r="13" spans="1:12" ht="15" customHeight="1" x14ac:dyDescent="0.15">
      <c r="A13" s="254"/>
      <c r="B13" s="254"/>
      <c r="C13" s="254"/>
      <c r="D13" s="249">
        <f>(C4-6.5)/2</f>
        <v>96.75</v>
      </c>
      <c r="E13" s="236"/>
      <c r="F13" s="11">
        <f>C5*2</f>
        <v>2</v>
      </c>
      <c r="G13" s="254"/>
      <c r="H13" s="255"/>
      <c r="I13" s="255"/>
      <c r="J13" s="255"/>
    </row>
    <row r="14" spans="1:12" ht="15" customHeight="1" x14ac:dyDescent="0.2">
      <c r="A14" s="254"/>
      <c r="B14" s="255"/>
      <c r="C14" s="255"/>
      <c r="D14" s="249">
        <f>D13</f>
        <v>96.75</v>
      </c>
      <c r="E14" s="236"/>
      <c r="F14" s="11">
        <f>C5*2</f>
        <v>2</v>
      </c>
      <c r="G14" s="255"/>
      <c r="H14" s="77" t="s">
        <v>156</v>
      </c>
      <c r="I14" s="59" t="s">
        <v>155</v>
      </c>
      <c r="J14" s="146">
        <f>D15*C5</f>
        <v>96.75</v>
      </c>
    </row>
    <row r="15" spans="1:12" ht="22.5" customHeight="1" x14ac:dyDescent="0.2">
      <c r="A15" s="254"/>
      <c r="B15" s="59" t="s">
        <v>155</v>
      </c>
      <c r="C15" s="77" t="s">
        <v>156</v>
      </c>
      <c r="D15" s="249">
        <f t="shared" ref="D15:D16" si="0">$D$14</f>
        <v>96.75</v>
      </c>
      <c r="E15" s="236"/>
      <c r="F15" s="11">
        <f>C5*2</f>
        <v>2</v>
      </c>
      <c r="G15" s="59"/>
      <c r="H15" s="13" t="s">
        <v>158</v>
      </c>
      <c r="I15" s="59" t="s">
        <v>157</v>
      </c>
      <c r="J15" s="146">
        <f>D16*C5</f>
        <v>96.75</v>
      </c>
    </row>
    <row r="16" spans="1:12" ht="28.5" customHeight="1" x14ac:dyDescent="0.2">
      <c r="A16" s="254"/>
      <c r="B16" s="59" t="s">
        <v>157</v>
      </c>
      <c r="C16" s="13" t="s">
        <v>158</v>
      </c>
      <c r="D16" s="249">
        <f t="shared" si="0"/>
        <v>96.75</v>
      </c>
      <c r="E16" s="236"/>
      <c r="F16" s="11">
        <f>C5*2</f>
        <v>2</v>
      </c>
      <c r="G16" s="59">
        <v>90</v>
      </c>
      <c r="H16" s="147"/>
      <c r="I16" s="59" t="s">
        <v>159</v>
      </c>
      <c r="J16" s="148">
        <f>(D17*8)+(D18*8)+(D19*8)*C5</f>
        <v>67.199999999999989</v>
      </c>
    </row>
    <row r="17" spans="1:11" x14ac:dyDescent="0.2">
      <c r="A17" s="254"/>
      <c r="B17" s="270" t="s">
        <v>159</v>
      </c>
      <c r="C17" s="344"/>
      <c r="D17" s="249">
        <v>3.4</v>
      </c>
      <c r="E17" s="236"/>
      <c r="F17" s="11">
        <f>C5*8</f>
        <v>8</v>
      </c>
      <c r="G17" s="270">
        <v>90</v>
      </c>
      <c r="H17" s="129"/>
      <c r="I17" s="59" t="s">
        <v>160</v>
      </c>
      <c r="J17" s="149">
        <f>(D20*8)+(D21*4)+(D22*4)*C5</f>
        <v>1525.6</v>
      </c>
    </row>
    <row r="18" spans="1:11" x14ac:dyDescent="0.2">
      <c r="A18" s="254"/>
      <c r="B18" s="254"/>
      <c r="C18" s="254"/>
      <c r="D18" s="249">
        <v>2.8</v>
      </c>
      <c r="E18" s="236"/>
      <c r="F18" s="11">
        <f>C5*8</f>
        <v>8</v>
      </c>
      <c r="G18" s="254"/>
      <c r="H18" s="32"/>
      <c r="I18" s="2"/>
      <c r="J18" s="2"/>
    </row>
    <row r="19" spans="1:11" x14ac:dyDescent="0.2">
      <c r="A19" s="255"/>
      <c r="B19" s="255"/>
      <c r="C19" s="255"/>
      <c r="D19" s="249">
        <v>2.2000000000000002</v>
      </c>
      <c r="E19" s="236"/>
      <c r="F19" s="11">
        <f>C5*8</f>
        <v>8</v>
      </c>
      <c r="G19" s="255"/>
      <c r="H19" s="32"/>
      <c r="I19" s="2"/>
      <c r="J19" s="2"/>
    </row>
    <row r="20" spans="1:11" x14ac:dyDescent="0.2">
      <c r="A20" s="256" t="s">
        <v>160</v>
      </c>
      <c r="B20" s="59" t="s">
        <v>161</v>
      </c>
      <c r="C20" s="344"/>
      <c r="D20" s="249">
        <f>D13</f>
        <v>96.75</v>
      </c>
      <c r="E20" s="236"/>
      <c r="F20" s="11">
        <f>C5*8</f>
        <v>8</v>
      </c>
      <c r="G20" s="270">
        <v>90</v>
      </c>
      <c r="H20" s="354"/>
      <c r="I20" s="2"/>
      <c r="J20" s="132"/>
    </row>
    <row r="21" spans="1:11" ht="15.75" customHeight="1" x14ac:dyDescent="0.15">
      <c r="A21" s="254"/>
      <c r="B21" s="59" t="s">
        <v>185</v>
      </c>
      <c r="C21" s="254"/>
      <c r="D21" s="249">
        <f>(D10-10)/2</f>
        <v>95</v>
      </c>
      <c r="E21" s="236"/>
      <c r="F21" s="11">
        <f>C5*4</f>
        <v>4</v>
      </c>
      <c r="G21" s="254"/>
      <c r="H21" s="355"/>
      <c r="I21" s="132"/>
      <c r="J21" s="132"/>
    </row>
    <row r="22" spans="1:11" ht="15.75" customHeight="1" x14ac:dyDescent="0.2">
      <c r="A22" s="254"/>
      <c r="B22" s="59" t="s">
        <v>185</v>
      </c>
      <c r="C22" s="254"/>
      <c r="D22" s="249">
        <f>(D10-14.2)/2</f>
        <v>92.9</v>
      </c>
      <c r="E22" s="236"/>
      <c r="F22" s="11">
        <f>C5*4</f>
        <v>4</v>
      </c>
      <c r="G22" s="254"/>
      <c r="H22" s="355"/>
      <c r="I22" s="2"/>
      <c r="J22" s="2"/>
    </row>
    <row r="23" spans="1:11" ht="15.75" customHeight="1" x14ac:dyDescent="0.2">
      <c r="A23" s="347" t="s">
        <v>163</v>
      </c>
      <c r="B23" s="16"/>
      <c r="C23" s="16" t="s">
        <v>3</v>
      </c>
      <c r="D23" s="345" t="s">
        <v>6</v>
      </c>
      <c r="E23" s="236"/>
      <c r="F23" s="16"/>
      <c r="G23" s="16"/>
      <c r="H23" s="32"/>
      <c r="I23" s="2"/>
      <c r="J23" s="2"/>
    </row>
    <row r="24" spans="1:11" ht="15.75" customHeight="1" x14ac:dyDescent="0.2">
      <c r="A24" s="254"/>
      <c r="B24" s="299"/>
      <c r="C24" s="133">
        <f>(D12-25.8)/2</f>
        <v>85.1</v>
      </c>
      <c r="D24" s="235">
        <f>D13-0.8</f>
        <v>95.95</v>
      </c>
      <c r="E24" s="236"/>
      <c r="F24" s="16">
        <f>C5*2</f>
        <v>2</v>
      </c>
      <c r="G24" s="356"/>
      <c r="H24" s="32"/>
      <c r="I24" s="2"/>
      <c r="J24" s="2"/>
    </row>
    <row r="25" spans="1:11" ht="15.75" customHeight="1" x14ac:dyDescent="0.2">
      <c r="A25" s="255"/>
      <c r="B25" s="255"/>
      <c r="C25" s="134">
        <f>(D12-13.4)/2</f>
        <v>91.3</v>
      </c>
      <c r="D25" s="235">
        <f>D24</f>
        <v>95.95</v>
      </c>
      <c r="E25" s="236"/>
      <c r="F25" s="16">
        <f>C5*2</f>
        <v>2</v>
      </c>
      <c r="G25" s="255"/>
      <c r="H25" s="32"/>
      <c r="I25" s="2"/>
      <c r="J25" s="2"/>
      <c r="K25" s="19"/>
    </row>
    <row r="26" spans="1:11" ht="15.75" customHeight="1" x14ac:dyDescent="0.2">
      <c r="A26" s="135" t="s">
        <v>164</v>
      </c>
      <c r="B26" s="11" t="s">
        <v>165</v>
      </c>
      <c r="C26" s="59"/>
      <c r="D26" s="249"/>
      <c r="E26" s="236"/>
      <c r="F26" s="51">
        <f>(C25*16)+(D25*16)*C5</f>
        <v>2996</v>
      </c>
      <c r="G26" s="59" t="s">
        <v>43</v>
      </c>
      <c r="H26" s="32"/>
      <c r="I26" s="2"/>
      <c r="J26" s="2"/>
    </row>
    <row r="27" spans="1:11" ht="15.75" customHeight="1" x14ac:dyDescent="0.2">
      <c r="A27" s="286" t="s">
        <v>48</v>
      </c>
      <c r="B27" s="11" t="s">
        <v>166</v>
      </c>
      <c r="C27" s="11" t="s">
        <v>167</v>
      </c>
      <c r="D27" s="246"/>
      <c r="E27" s="236"/>
      <c r="F27" s="11">
        <f>C5*40</f>
        <v>40</v>
      </c>
      <c r="G27" s="11"/>
      <c r="H27" s="32"/>
      <c r="I27" s="2"/>
      <c r="J27" s="2"/>
    </row>
    <row r="28" spans="1:11" ht="15.75" customHeight="1" x14ac:dyDescent="0.2">
      <c r="A28" s="255"/>
      <c r="B28" s="11" t="s">
        <v>166</v>
      </c>
      <c r="C28" s="11" t="s">
        <v>168</v>
      </c>
      <c r="D28" s="246"/>
      <c r="E28" s="236"/>
      <c r="F28" s="11">
        <f>C5*16</f>
        <v>16</v>
      </c>
      <c r="G28" s="11"/>
      <c r="H28" s="32"/>
      <c r="I28" s="2"/>
      <c r="J28" s="2"/>
    </row>
    <row r="29" spans="1:11" ht="15.75" customHeight="1" x14ac:dyDescent="0.2">
      <c r="A29" s="286" t="s">
        <v>169</v>
      </c>
      <c r="B29" s="11" t="s">
        <v>170</v>
      </c>
      <c r="C29" s="11" t="s">
        <v>171</v>
      </c>
      <c r="D29" s="246"/>
      <c r="E29" s="236"/>
      <c r="F29" s="11">
        <f>C5*8</f>
        <v>8</v>
      </c>
      <c r="G29" s="11"/>
      <c r="H29" s="32"/>
      <c r="I29" s="2"/>
      <c r="J29" s="2"/>
    </row>
    <row r="30" spans="1:11" ht="15.75" customHeight="1" x14ac:dyDescent="0.2">
      <c r="A30" s="255"/>
      <c r="B30" s="11" t="s">
        <v>172</v>
      </c>
      <c r="C30" s="11" t="s">
        <v>173</v>
      </c>
      <c r="D30" s="246"/>
      <c r="E30" s="236"/>
      <c r="F30" s="11">
        <f>C5*8</f>
        <v>8</v>
      </c>
      <c r="G30" s="11"/>
      <c r="H30" s="32"/>
      <c r="I30" s="2"/>
      <c r="J30" s="2"/>
    </row>
    <row r="31" spans="1:11" ht="15.75" customHeight="1" x14ac:dyDescent="0.2">
      <c r="A31" s="136" t="s">
        <v>174</v>
      </c>
      <c r="B31" s="11" t="s">
        <v>175</v>
      </c>
      <c r="C31" s="11"/>
      <c r="D31" s="246"/>
      <c r="E31" s="236"/>
      <c r="F31" s="11">
        <f>C5*8</f>
        <v>8</v>
      </c>
      <c r="G31" s="11"/>
      <c r="H31" s="32"/>
      <c r="I31" s="2"/>
      <c r="J31" s="2"/>
    </row>
    <row r="32" spans="1:11" ht="15.75" customHeight="1" x14ac:dyDescent="0.2">
      <c r="A32" s="136" t="s">
        <v>176</v>
      </c>
      <c r="B32" s="11" t="s">
        <v>177</v>
      </c>
      <c r="C32" s="11"/>
      <c r="D32" s="246"/>
      <c r="E32" s="236"/>
      <c r="F32" s="11">
        <f>C5*1</f>
        <v>1</v>
      </c>
      <c r="G32" s="11"/>
      <c r="H32" s="32"/>
      <c r="I32" s="2"/>
      <c r="J32" s="2"/>
    </row>
    <row r="33" spans="1:10" ht="15.75" customHeight="1" x14ac:dyDescent="0.2">
      <c r="A33" s="137" t="s">
        <v>56</v>
      </c>
      <c r="B33" s="348"/>
      <c r="C33" s="238"/>
      <c r="D33" s="238"/>
      <c r="E33" s="238"/>
      <c r="F33" s="238"/>
      <c r="G33" s="236"/>
      <c r="H33" s="32"/>
      <c r="I33" s="2"/>
      <c r="J33" s="2"/>
    </row>
    <row r="34" spans="1:10" ht="15.75" customHeight="1" x14ac:dyDescent="0.2">
      <c r="A34" s="137" t="s">
        <v>57</v>
      </c>
      <c r="B34" s="348"/>
      <c r="C34" s="238"/>
      <c r="D34" s="238"/>
      <c r="E34" s="238"/>
      <c r="F34" s="238"/>
      <c r="G34" s="236"/>
      <c r="H34" s="32"/>
      <c r="I34" s="2"/>
      <c r="J34" s="2"/>
    </row>
    <row r="35" spans="1:10" ht="15.75" customHeight="1" x14ac:dyDescent="0.2">
      <c r="A35" s="240" t="s">
        <v>58</v>
      </c>
      <c r="B35" s="241"/>
      <c r="C35" s="241"/>
      <c r="D35" s="241"/>
      <c r="E35" s="242"/>
      <c r="F35" s="239"/>
      <c r="G35" s="236"/>
      <c r="H35" s="32"/>
      <c r="I35" s="2"/>
      <c r="J35" s="2"/>
    </row>
    <row r="36" spans="1:10" ht="15.75" customHeight="1" x14ac:dyDescent="0.2">
      <c r="A36" s="243"/>
      <c r="B36" s="244"/>
      <c r="C36" s="244"/>
      <c r="D36" s="244"/>
      <c r="E36" s="245"/>
      <c r="F36" s="239" t="s">
        <v>59</v>
      </c>
      <c r="G36" s="236"/>
      <c r="H36" s="32"/>
      <c r="I36" s="2"/>
      <c r="J36" s="2"/>
    </row>
    <row r="37" spans="1:10" ht="15.75" customHeight="1" x14ac:dyDescent="0.2">
      <c r="A37" s="29"/>
      <c r="B37" s="357"/>
      <c r="C37" s="241"/>
      <c r="D37" s="241"/>
      <c r="E37" s="138"/>
      <c r="F37" s="138"/>
      <c r="G37" s="138"/>
      <c r="H37" s="32"/>
      <c r="I37" s="2"/>
      <c r="J37" s="2"/>
    </row>
    <row r="38" spans="1:10" ht="15.75" customHeight="1" x14ac:dyDescent="0.2">
      <c r="A38" s="29"/>
      <c r="B38" s="30"/>
      <c r="C38" s="2"/>
      <c r="D38" s="138"/>
      <c r="E38" s="138"/>
      <c r="F38" s="138"/>
      <c r="G38" s="138"/>
      <c r="H38" s="32"/>
      <c r="I38" s="2"/>
      <c r="J38" s="2"/>
    </row>
    <row r="39" spans="1:10" ht="15.75" customHeight="1" x14ac:dyDescent="0.2">
      <c r="A39" s="29"/>
      <c r="B39" s="30"/>
      <c r="C39" s="138"/>
      <c r="D39" s="138"/>
      <c r="E39" s="150"/>
      <c r="F39" s="138"/>
      <c r="G39" s="138"/>
      <c r="H39" s="32"/>
      <c r="I39" s="2"/>
      <c r="J39" s="2"/>
    </row>
    <row r="40" spans="1:10" ht="15.75" customHeight="1" x14ac:dyDescent="0.2">
      <c r="A40" s="29"/>
      <c r="B40" s="30"/>
      <c r="C40" s="138"/>
      <c r="D40" s="138"/>
      <c r="E40" s="151"/>
      <c r="F40" s="138"/>
      <c r="G40" s="138"/>
      <c r="H40" s="32"/>
      <c r="I40" s="2"/>
      <c r="J40" s="2"/>
    </row>
    <row r="41" spans="1:10" ht="15.75" customHeight="1" x14ac:dyDescent="0.2">
      <c r="A41" s="29"/>
      <c r="B41" s="30"/>
      <c r="C41" s="138"/>
      <c r="D41" s="138"/>
      <c r="E41" s="151"/>
      <c r="F41" s="138"/>
      <c r="G41" s="138"/>
      <c r="H41" s="32"/>
      <c r="I41" s="2"/>
      <c r="J41" s="2"/>
    </row>
    <row r="42" spans="1:10" ht="15.75" customHeight="1" x14ac:dyDescent="0.2">
      <c r="A42" s="29"/>
      <c r="B42" s="30"/>
      <c r="C42" s="138"/>
      <c r="D42" s="138"/>
      <c r="E42" s="151"/>
      <c r="F42" s="138"/>
      <c r="G42" s="138"/>
      <c r="H42" s="32"/>
      <c r="I42" s="2"/>
      <c r="J42" s="2"/>
    </row>
    <row r="43" spans="1:10" ht="15.75" customHeight="1" x14ac:dyDescent="0.2">
      <c r="A43" s="29"/>
      <c r="B43" s="30"/>
      <c r="C43" s="138"/>
      <c r="D43" s="138"/>
      <c r="E43" s="358">
        <f>C3</f>
        <v>200</v>
      </c>
      <c r="F43" s="251"/>
      <c r="G43" s="138"/>
      <c r="H43" s="32"/>
      <c r="I43" s="2"/>
      <c r="J43" s="2"/>
    </row>
    <row r="44" spans="1:10" ht="15.75" customHeight="1" x14ac:dyDescent="0.2">
      <c r="A44" s="29"/>
      <c r="B44" s="30"/>
      <c r="C44" s="138"/>
      <c r="D44" s="138"/>
      <c r="E44" s="151"/>
      <c r="F44" s="138"/>
      <c r="G44" s="138"/>
      <c r="H44" s="32"/>
      <c r="I44" s="2"/>
      <c r="J44" s="2"/>
    </row>
    <row r="45" spans="1:10" ht="15.75" customHeight="1" x14ac:dyDescent="0.2">
      <c r="A45" s="29"/>
      <c r="B45" s="30"/>
      <c r="C45" s="138"/>
      <c r="D45" s="138"/>
      <c r="E45" s="151"/>
      <c r="F45" s="138"/>
      <c r="G45" s="138"/>
      <c r="H45" s="32"/>
      <c r="I45" s="2"/>
      <c r="J45" s="2"/>
    </row>
    <row r="46" spans="1:10" ht="15.75" customHeight="1" x14ac:dyDescent="0.2">
      <c r="A46" s="29"/>
      <c r="B46" s="30"/>
      <c r="C46" s="138"/>
      <c r="D46" s="138"/>
      <c r="E46" s="138"/>
      <c r="F46" s="138"/>
      <c r="G46" s="138"/>
      <c r="H46" s="32"/>
      <c r="I46" s="2"/>
      <c r="J46" s="2"/>
    </row>
    <row r="47" spans="1:10" ht="15.75" customHeight="1" x14ac:dyDescent="0.2">
      <c r="A47" s="29"/>
      <c r="B47" s="333"/>
      <c r="C47" s="251"/>
      <c r="D47" s="251"/>
      <c r="E47" s="138"/>
      <c r="F47" s="138"/>
      <c r="G47" s="138"/>
      <c r="H47" s="32"/>
      <c r="I47" s="2"/>
      <c r="J47" s="2"/>
    </row>
    <row r="48" spans="1:10" ht="15.75" customHeight="1" x14ac:dyDescent="0.2">
      <c r="A48" s="29"/>
      <c r="B48" s="30"/>
      <c r="C48" s="138"/>
      <c r="D48" s="138"/>
      <c r="E48" s="138"/>
      <c r="F48" s="138"/>
      <c r="G48" s="138"/>
      <c r="H48" s="32"/>
      <c r="I48" s="2"/>
      <c r="J48" s="2"/>
    </row>
    <row r="49" spans="2:13" ht="15.75" customHeight="1" x14ac:dyDescent="0.2"/>
    <row r="50" spans="2:13" ht="15.75" customHeight="1" x14ac:dyDescent="0.2"/>
    <row r="51" spans="2:13" ht="15.75" customHeight="1" x14ac:dyDescent="0.3">
      <c r="B51" s="252">
        <f>C4</f>
        <v>200</v>
      </c>
      <c r="C51" s="251"/>
      <c r="D51" s="251"/>
    </row>
    <row r="52" spans="2:13" ht="15.75" customHeight="1" x14ac:dyDescent="0.2"/>
    <row r="53" spans="2:13" ht="15.75" customHeight="1" x14ac:dyDescent="0.2"/>
    <row r="54" spans="2:13" ht="15.75" customHeight="1" x14ac:dyDescent="0.2"/>
    <row r="55" spans="2:13" ht="15.75" customHeight="1" x14ac:dyDescent="0.2"/>
    <row r="56" spans="2:13" ht="15.75" customHeight="1" x14ac:dyDescent="0.2"/>
    <row r="57" spans="2:13" ht="15.75" customHeight="1" x14ac:dyDescent="0.2"/>
    <row r="58" spans="2:13" ht="15.75" customHeight="1" x14ac:dyDescent="0.2"/>
    <row r="59" spans="2:13" ht="15.75" customHeight="1" x14ac:dyDescent="0.2"/>
    <row r="60" spans="2:13" ht="15.75" customHeight="1" x14ac:dyDescent="0.2"/>
    <row r="61" spans="2:13" ht="15.75" customHeight="1" x14ac:dyDescent="0.2"/>
    <row r="62" spans="2:13" ht="15.75" customHeight="1" x14ac:dyDescent="0.2"/>
    <row r="63" spans="2:13" ht="15.75" customHeight="1" x14ac:dyDescent="0.2"/>
    <row r="64" spans="2:13" ht="15.75" customHeight="1" x14ac:dyDescent="0.2">
      <c r="M64" s="152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74">
    <mergeCell ref="B51:D51"/>
    <mergeCell ref="A35:E36"/>
    <mergeCell ref="D31:E31"/>
    <mergeCell ref="B37:D37"/>
    <mergeCell ref="A29:A30"/>
    <mergeCell ref="A27:A28"/>
    <mergeCell ref="B47:D47"/>
    <mergeCell ref="E43:F43"/>
    <mergeCell ref="D32:E32"/>
    <mergeCell ref="B34:G34"/>
    <mergeCell ref="B33:G33"/>
    <mergeCell ref="F35:G35"/>
    <mergeCell ref="F36:G36"/>
    <mergeCell ref="D30:E30"/>
    <mergeCell ref="D29:E29"/>
    <mergeCell ref="D28:E28"/>
    <mergeCell ref="D27:E27"/>
    <mergeCell ref="D26:E26"/>
    <mergeCell ref="H20:H22"/>
    <mergeCell ref="G20:G22"/>
    <mergeCell ref="D22:E22"/>
    <mergeCell ref="D23:E23"/>
    <mergeCell ref="G24:G25"/>
    <mergeCell ref="D25:E25"/>
    <mergeCell ref="D24:E24"/>
    <mergeCell ref="A8:B9"/>
    <mergeCell ref="B12:B14"/>
    <mergeCell ref="D20:E20"/>
    <mergeCell ref="D21:E21"/>
    <mergeCell ref="G17:G19"/>
    <mergeCell ref="D15:E15"/>
    <mergeCell ref="D14:E14"/>
    <mergeCell ref="B17:B19"/>
    <mergeCell ref="D19:E19"/>
    <mergeCell ref="D18:E18"/>
    <mergeCell ref="D17:E17"/>
    <mergeCell ref="D16:E16"/>
    <mergeCell ref="A20:A22"/>
    <mergeCell ref="A23:A25"/>
    <mergeCell ref="C17:C19"/>
    <mergeCell ref="C20:C22"/>
    <mergeCell ref="A12:A19"/>
    <mergeCell ref="B24:B25"/>
    <mergeCell ref="D3:G3"/>
    <mergeCell ref="A2:G2"/>
    <mergeCell ref="D4:G4"/>
    <mergeCell ref="C7:G7"/>
    <mergeCell ref="A4:B4"/>
    <mergeCell ref="A6:B6"/>
    <mergeCell ref="A7:B7"/>
    <mergeCell ref="A3:B3"/>
    <mergeCell ref="A5:B5"/>
    <mergeCell ref="G10:G14"/>
    <mergeCell ref="D5:G5"/>
    <mergeCell ref="C6:G6"/>
    <mergeCell ref="H7:J7"/>
    <mergeCell ref="G8:G9"/>
    <mergeCell ref="H9:H10"/>
    <mergeCell ref="I9:I10"/>
    <mergeCell ref="I11:I13"/>
    <mergeCell ref="H11:H13"/>
    <mergeCell ref="J11:J13"/>
    <mergeCell ref="J9:J10"/>
    <mergeCell ref="C12:C14"/>
    <mergeCell ref="D13:E13"/>
    <mergeCell ref="D12:E12"/>
    <mergeCell ref="D8:E9"/>
    <mergeCell ref="F8:F9"/>
    <mergeCell ref="C8:C9"/>
    <mergeCell ref="D11:E11"/>
    <mergeCell ref="D10:E10"/>
    <mergeCell ref="A10:A11"/>
    <mergeCell ref="B10:B11"/>
    <mergeCell ref="C10:C11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28.65234375" customWidth="1"/>
    <col min="2" max="2" width="19.63671875" customWidth="1"/>
    <col min="3" max="3" width="11.703125" customWidth="1"/>
    <col min="4" max="4" width="7.26171875" customWidth="1"/>
    <col min="5" max="5" width="7.53125" customWidth="1"/>
    <col min="6" max="6" width="6.3203125" customWidth="1"/>
    <col min="7" max="7" width="12.375" customWidth="1"/>
    <col min="8" max="8" width="8.609375" customWidth="1"/>
  </cols>
  <sheetData>
    <row r="1" spans="1:8" ht="23.25" x14ac:dyDescent="0.3">
      <c r="A1" s="119" t="s">
        <v>148</v>
      </c>
      <c r="B1" s="144"/>
      <c r="C1" s="144"/>
      <c r="D1" s="144"/>
      <c r="E1" s="144"/>
      <c r="F1" s="144"/>
      <c r="G1" s="144"/>
    </row>
    <row r="2" spans="1:8" ht="20.25" x14ac:dyDescent="0.25">
      <c r="A2" s="261" t="s">
        <v>186</v>
      </c>
      <c r="B2" s="238"/>
      <c r="C2" s="238"/>
      <c r="D2" s="238"/>
      <c r="E2" s="238"/>
      <c r="F2" s="238"/>
      <c r="G2" s="236"/>
    </row>
    <row r="3" spans="1:8" ht="22.5" x14ac:dyDescent="0.25">
      <c r="A3" s="71" t="s">
        <v>3</v>
      </c>
      <c r="B3" s="153"/>
      <c r="C3" s="154">
        <v>200</v>
      </c>
      <c r="D3" s="330" t="s">
        <v>4</v>
      </c>
      <c r="E3" s="238"/>
      <c r="F3" s="238"/>
      <c r="G3" s="236"/>
      <c r="H3" s="123"/>
    </row>
    <row r="4" spans="1:8" ht="20.25" x14ac:dyDescent="0.25">
      <c r="A4" s="9" t="s">
        <v>6</v>
      </c>
      <c r="B4" s="153" t="s">
        <v>187</v>
      </c>
      <c r="C4" s="154">
        <v>90</v>
      </c>
      <c r="D4" s="330" t="s">
        <v>4</v>
      </c>
      <c r="E4" s="238"/>
      <c r="F4" s="238"/>
      <c r="G4" s="236"/>
    </row>
    <row r="5" spans="1:8" ht="20.25" x14ac:dyDescent="0.25">
      <c r="A5" s="263" t="s">
        <v>72</v>
      </c>
      <c r="B5" s="236"/>
      <c r="C5" s="330"/>
      <c r="D5" s="238"/>
      <c r="E5" s="238"/>
      <c r="F5" s="238"/>
      <c r="G5" s="236"/>
    </row>
    <row r="6" spans="1:8" ht="20.25" x14ac:dyDescent="0.25">
      <c r="A6" s="263" t="s">
        <v>9</v>
      </c>
      <c r="B6" s="236"/>
      <c r="C6" s="263"/>
      <c r="D6" s="238"/>
      <c r="E6" s="238"/>
      <c r="F6" s="238"/>
      <c r="G6" s="236"/>
    </row>
    <row r="7" spans="1:8" ht="15" customHeight="1" x14ac:dyDescent="0.2">
      <c r="A7" s="248" t="s">
        <v>10</v>
      </c>
      <c r="B7" s="242"/>
      <c r="C7" s="253" t="s">
        <v>11</v>
      </c>
      <c r="D7" s="346" t="s">
        <v>150</v>
      </c>
      <c r="E7" s="242"/>
      <c r="F7" s="270" t="s">
        <v>13</v>
      </c>
      <c r="G7" s="342" t="s">
        <v>14</v>
      </c>
    </row>
    <row r="8" spans="1:8" x14ac:dyDescent="0.2">
      <c r="A8" s="243"/>
      <c r="B8" s="245"/>
      <c r="C8" s="255"/>
      <c r="D8" s="243"/>
      <c r="E8" s="245"/>
      <c r="F8" s="255"/>
      <c r="G8" s="255"/>
    </row>
    <row r="9" spans="1:8" x14ac:dyDescent="0.15">
      <c r="A9" s="256" t="s">
        <v>19</v>
      </c>
      <c r="B9" s="270" t="s">
        <v>184</v>
      </c>
      <c r="C9" s="270"/>
      <c r="D9" s="249">
        <f>C3</f>
        <v>200</v>
      </c>
      <c r="E9" s="236"/>
      <c r="F9" s="11">
        <v>2</v>
      </c>
      <c r="G9" s="270">
        <v>90</v>
      </c>
    </row>
    <row r="10" spans="1:8" x14ac:dyDescent="0.15">
      <c r="A10" s="255"/>
      <c r="B10" s="255"/>
      <c r="C10" s="254"/>
      <c r="D10" s="249">
        <f>C4-5</f>
        <v>85</v>
      </c>
      <c r="E10" s="236"/>
      <c r="F10" s="11">
        <v>1</v>
      </c>
      <c r="G10" s="254"/>
    </row>
    <row r="11" spans="1:8" ht="15" customHeight="1" x14ac:dyDescent="0.15">
      <c r="A11" s="256" t="s">
        <v>66</v>
      </c>
      <c r="B11" s="155" t="s">
        <v>188</v>
      </c>
      <c r="C11" s="156" t="s">
        <v>158</v>
      </c>
      <c r="D11" s="249">
        <f>C3-4.1</f>
        <v>195.9</v>
      </c>
      <c r="E11" s="236"/>
      <c r="F11" s="11">
        <v>2</v>
      </c>
      <c r="G11" s="254"/>
    </row>
    <row r="12" spans="1:8" x14ac:dyDescent="0.2">
      <c r="A12" s="254"/>
      <c r="B12" s="155" t="s">
        <v>188</v>
      </c>
      <c r="C12" s="19" t="s">
        <v>158</v>
      </c>
      <c r="D12" s="249">
        <f>C4-23.8</f>
        <v>66.2</v>
      </c>
      <c r="E12" s="236"/>
      <c r="F12" s="11">
        <v>3</v>
      </c>
      <c r="G12" s="254"/>
    </row>
    <row r="13" spans="1:8" x14ac:dyDescent="0.2">
      <c r="A13" s="254"/>
      <c r="B13" s="59" t="s">
        <v>189</v>
      </c>
      <c r="C13" s="19" t="s">
        <v>156</v>
      </c>
      <c r="D13" s="249">
        <f>C4-23.8</f>
        <v>66.2</v>
      </c>
      <c r="E13" s="236"/>
      <c r="F13" s="11">
        <v>1</v>
      </c>
      <c r="G13" s="255"/>
    </row>
    <row r="14" spans="1:8" x14ac:dyDescent="0.15">
      <c r="A14" s="254"/>
      <c r="B14" s="270" t="s">
        <v>159</v>
      </c>
      <c r="C14" s="344"/>
      <c r="D14" s="249">
        <v>3.4</v>
      </c>
      <c r="E14" s="236"/>
      <c r="F14" s="11">
        <v>4</v>
      </c>
      <c r="G14" s="270">
        <v>90</v>
      </c>
    </row>
    <row r="15" spans="1:8" x14ac:dyDescent="0.15">
      <c r="A15" s="254"/>
      <c r="B15" s="254"/>
      <c r="C15" s="254"/>
      <c r="D15" s="249">
        <v>2.8</v>
      </c>
      <c r="E15" s="236"/>
      <c r="F15" s="11">
        <v>4</v>
      </c>
      <c r="G15" s="254"/>
    </row>
    <row r="16" spans="1:8" x14ac:dyDescent="0.15">
      <c r="A16" s="255"/>
      <c r="B16" s="255"/>
      <c r="C16" s="255"/>
      <c r="D16" s="249">
        <v>2.2000000000000002</v>
      </c>
      <c r="E16" s="236"/>
      <c r="F16" s="11">
        <v>4</v>
      </c>
      <c r="G16" s="255"/>
    </row>
    <row r="17" spans="1:7" x14ac:dyDescent="0.15">
      <c r="A17" s="256" t="s">
        <v>160</v>
      </c>
      <c r="B17" s="59" t="s">
        <v>161</v>
      </c>
      <c r="C17" s="344"/>
      <c r="D17" s="249">
        <f>C4-23.9</f>
        <v>66.099999999999994</v>
      </c>
      <c r="E17" s="236"/>
      <c r="F17" s="11">
        <v>4</v>
      </c>
      <c r="G17" s="59">
        <v>90</v>
      </c>
    </row>
    <row r="18" spans="1:7" x14ac:dyDescent="0.15">
      <c r="A18" s="254"/>
      <c r="B18" s="59" t="s">
        <v>185</v>
      </c>
      <c r="C18" s="254"/>
      <c r="D18" s="249">
        <f>(D9-15.8)/2</f>
        <v>92.1</v>
      </c>
      <c r="E18" s="236"/>
      <c r="F18" s="11">
        <v>2</v>
      </c>
      <c r="G18" s="59">
        <v>45</v>
      </c>
    </row>
    <row r="19" spans="1:7" x14ac:dyDescent="0.15">
      <c r="A19" s="254"/>
      <c r="B19" s="59" t="s">
        <v>190</v>
      </c>
      <c r="C19" s="254"/>
      <c r="D19" s="249">
        <f>(D9-380)/2</f>
        <v>-90</v>
      </c>
      <c r="E19" s="236"/>
      <c r="F19" s="11">
        <v>2</v>
      </c>
      <c r="G19" s="59">
        <v>45</v>
      </c>
    </row>
    <row r="20" spans="1:7" x14ac:dyDescent="0.15">
      <c r="A20" s="360" t="s">
        <v>163</v>
      </c>
      <c r="B20" s="11"/>
      <c r="C20" s="11" t="s">
        <v>3</v>
      </c>
      <c r="D20" s="361" t="s">
        <v>191</v>
      </c>
      <c r="E20" s="236"/>
      <c r="F20" s="11"/>
      <c r="G20" s="11"/>
    </row>
    <row r="21" spans="1:7" ht="15.75" customHeight="1" x14ac:dyDescent="0.15">
      <c r="A21" s="254"/>
      <c r="B21" s="344"/>
      <c r="C21" s="157">
        <f>(D9-39.6)/2</f>
        <v>80.2</v>
      </c>
      <c r="D21" s="359">
        <f>D12-0.8</f>
        <v>65.400000000000006</v>
      </c>
      <c r="E21" s="236"/>
      <c r="F21" s="158">
        <v>1</v>
      </c>
      <c r="G21" s="270"/>
    </row>
    <row r="22" spans="1:7" ht="15.75" customHeight="1" x14ac:dyDescent="0.15">
      <c r="A22" s="255"/>
      <c r="B22" s="255"/>
      <c r="C22" s="159">
        <f>(C3-27.2)/2</f>
        <v>86.4</v>
      </c>
      <c r="D22" s="359">
        <f>D21</f>
        <v>65.400000000000006</v>
      </c>
      <c r="E22" s="236"/>
      <c r="F22" s="158">
        <v>1</v>
      </c>
      <c r="G22" s="255"/>
    </row>
    <row r="23" spans="1:7" ht="15.75" customHeight="1" x14ac:dyDescent="0.15">
      <c r="A23" s="135" t="s">
        <v>192</v>
      </c>
      <c r="B23" s="11"/>
      <c r="C23" s="59"/>
      <c r="D23" s="361"/>
      <c r="E23" s="236"/>
      <c r="F23" s="11"/>
      <c r="G23" s="59"/>
    </row>
    <row r="24" spans="1:7" ht="15.75" customHeight="1" x14ac:dyDescent="0.15">
      <c r="A24" s="135" t="s">
        <v>164</v>
      </c>
      <c r="B24" s="11" t="s">
        <v>165</v>
      </c>
      <c r="C24" s="59"/>
      <c r="D24" s="246"/>
      <c r="E24" s="236"/>
      <c r="F24" s="51">
        <f>(C22*8)+(D22*8)</f>
        <v>1214.4000000000001</v>
      </c>
      <c r="G24" s="59" t="s">
        <v>43</v>
      </c>
    </row>
    <row r="25" spans="1:7" ht="15.75" customHeight="1" x14ac:dyDescent="0.15">
      <c r="A25" s="286" t="s">
        <v>48</v>
      </c>
      <c r="B25" s="11" t="s">
        <v>166</v>
      </c>
      <c r="C25" s="11" t="s">
        <v>167</v>
      </c>
      <c r="D25" s="246"/>
      <c r="E25" s="236"/>
      <c r="F25" s="11">
        <v>40</v>
      </c>
      <c r="G25" s="11"/>
    </row>
    <row r="26" spans="1:7" ht="15.75" customHeight="1" x14ac:dyDescent="0.15">
      <c r="A26" s="255"/>
      <c r="B26" s="11" t="s">
        <v>166</v>
      </c>
      <c r="C26" s="11" t="s">
        <v>168</v>
      </c>
      <c r="D26" s="246"/>
      <c r="E26" s="236"/>
      <c r="F26" s="11">
        <v>8</v>
      </c>
      <c r="G26" s="11"/>
    </row>
    <row r="27" spans="1:7" ht="15.75" customHeight="1" x14ac:dyDescent="0.15">
      <c r="A27" s="286" t="s">
        <v>169</v>
      </c>
      <c r="B27" s="11" t="s">
        <v>170</v>
      </c>
      <c r="C27" s="11" t="s">
        <v>171</v>
      </c>
      <c r="D27" s="246"/>
      <c r="E27" s="236"/>
      <c r="F27" s="11">
        <v>8</v>
      </c>
      <c r="G27" s="11"/>
    </row>
    <row r="28" spans="1:7" ht="15.75" customHeight="1" x14ac:dyDescent="0.15">
      <c r="A28" s="255"/>
      <c r="B28" s="11" t="s">
        <v>172</v>
      </c>
      <c r="C28" s="11" t="s">
        <v>173</v>
      </c>
      <c r="D28" s="246"/>
      <c r="E28" s="236"/>
      <c r="F28" s="11">
        <v>8</v>
      </c>
      <c r="G28" s="11"/>
    </row>
    <row r="29" spans="1:7" ht="15.75" customHeight="1" x14ac:dyDescent="0.2">
      <c r="A29" s="136" t="s">
        <v>174</v>
      </c>
      <c r="B29" s="11" t="s">
        <v>175</v>
      </c>
      <c r="C29" s="11"/>
      <c r="D29" s="246"/>
      <c r="E29" s="236"/>
      <c r="F29" s="11">
        <v>4</v>
      </c>
      <c r="G29" s="11"/>
    </row>
    <row r="30" spans="1:7" ht="15.75" customHeight="1" x14ac:dyDescent="0.2">
      <c r="A30" s="136" t="s">
        <v>176</v>
      </c>
      <c r="B30" s="11" t="s">
        <v>177</v>
      </c>
      <c r="C30" s="11"/>
      <c r="D30" s="246"/>
      <c r="E30" s="236"/>
      <c r="F30" s="11">
        <v>1</v>
      </c>
      <c r="G30" s="11"/>
    </row>
    <row r="31" spans="1:7" ht="15.75" customHeight="1" x14ac:dyDescent="0.2">
      <c r="A31" s="137" t="s">
        <v>56</v>
      </c>
      <c r="B31" s="348"/>
      <c r="C31" s="238"/>
      <c r="D31" s="238"/>
      <c r="E31" s="238"/>
      <c r="F31" s="238"/>
      <c r="G31" s="236"/>
    </row>
    <row r="32" spans="1:7" ht="15.75" customHeight="1" x14ac:dyDescent="0.2">
      <c r="A32" s="137" t="s">
        <v>57</v>
      </c>
      <c r="B32" s="348"/>
      <c r="C32" s="238"/>
      <c r="D32" s="238"/>
      <c r="E32" s="238"/>
      <c r="F32" s="238"/>
      <c r="G32" s="236"/>
    </row>
    <row r="33" spans="1:7" ht="15.75" customHeight="1" x14ac:dyDescent="0.2">
      <c r="A33" s="240" t="s">
        <v>58</v>
      </c>
      <c r="B33" s="241"/>
      <c r="C33" s="241"/>
      <c r="D33" s="241"/>
      <c r="E33" s="242"/>
      <c r="F33" s="239"/>
      <c r="G33" s="236"/>
    </row>
    <row r="34" spans="1:7" ht="15.75" customHeight="1" x14ac:dyDescent="0.2">
      <c r="A34" s="243"/>
      <c r="B34" s="244"/>
      <c r="C34" s="244"/>
      <c r="D34" s="244"/>
      <c r="E34" s="245"/>
      <c r="F34" s="239" t="s">
        <v>59</v>
      </c>
      <c r="G34" s="236"/>
    </row>
    <row r="35" spans="1:7" ht="15.75" customHeight="1" x14ac:dyDescent="0.2">
      <c r="A35" s="29"/>
      <c r="B35" s="30"/>
      <c r="C35" s="333"/>
      <c r="D35" s="251"/>
      <c r="E35" s="138"/>
      <c r="F35" s="138"/>
      <c r="G35" s="138"/>
    </row>
    <row r="36" spans="1:7" ht="15.75" customHeight="1" x14ac:dyDescent="0.2">
      <c r="A36" s="29"/>
      <c r="B36" s="30"/>
      <c r="C36" s="2"/>
      <c r="D36" s="138"/>
      <c r="E36" s="138"/>
      <c r="F36" s="138"/>
      <c r="G36" s="138"/>
    </row>
    <row r="37" spans="1:7" ht="15.75" customHeight="1" x14ac:dyDescent="0.2">
      <c r="A37" s="29"/>
      <c r="B37" s="30"/>
      <c r="C37" s="138"/>
      <c r="D37" s="138"/>
      <c r="E37" s="350"/>
      <c r="F37" s="138"/>
      <c r="G37" s="138"/>
    </row>
    <row r="38" spans="1:7" ht="15.75" customHeight="1" x14ac:dyDescent="0.2">
      <c r="A38" s="29"/>
      <c r="B38" s="30"/>
      <c r="C38" s="138"/>
      <c r="D38" s="138"/>
      <c r="E38" s="251"/>
      <c r="F38" s="138"/>
      <c r="G38" s="138"/>
    </row>
    <row r="39" spans="1:7" ht="15.75" customHeight="1" x14ac:dyDescent="0.2">
      <c r="A39" s="29"/>
      <c r="B39" s="30"/>
      <c r="C39" s="138"/>
      <c r="D39" s="138"/>
      <c r="E39" s="251"/>
      <c r="F39" s="138"/>
      <c r="G39" s="138"/>
    </row>
    <row r="40" spans="1:7" ht="15.75" customHeight="1" x14ac:dyDescent="0.2">
      <c r="A40" s="29"/>
      <c r="B40" s="30"/>
      <c r="C40" s="138"/>
      <c r="D40" s="138"/>
      <c r="E40" s="251"/>
      <c r="F40" s="138"/>
      <c r="G40" s="138"/>
    </row>
    <row r="41" spans="1:7" ht="15.75" customHeight="1" x14ac:dyDescent="0.25">
      <c r="A41" s="29"/>
      <c r="B41" s="30"/>
      <c r="C41" s="160">
        <f>C3</f>
        <v>200</v>
      </c>
      <c r="D41" s="138"/>
      <c r="E41" s="251"/>
      <c r="F41" s="138"/>
      <c r="G41" s="138"/>
    </row>
    <row r="42" spans="1:7" ht="15.75" customHeight="1" x14ac:dyDescent="0.2">
      <c r="A42" s="29"/>
      <c r="B42" s="30"/>
      <c r="C42" s="138"/>
      <c r="D42" s="138"/>
      <c r="E42" s="251"/>
      <c r="F42" s="138"/>
      <c r="G42" s="138"/>
    </row>
    <row r="43" spans="1:7" ht="15.75" customHeight="1" x14ac:dyDescent="0.2">
      <c r="A43" s="29"/>
      <c r="B43" s="30"/>
      <c r="C43" s="138"/>
      <c r="D43" s="138"/>
      <c r="E43" s="251"/>
      <c r="F43" s="138"/>
      <c r="G43" s="138"/>
    </row>
    <row r="44" spans="1:7" ht="15.75" customHeight="1" x14ac:dyDescent="0.2">
      <c r="A44" s="29"/>
      <c r="B44" s="30"/>
      <c r="C44" s="138"/>
      <c r="D44" s="138"/>
      <c r="E44" s="138"/>
      <c r="F44" s="138"/>
      <c r="G44" s="138"/>
    </row>
    <row r="45" spans="1:7" ht="15.75" customHeight="1" x14ac:dyDescent="0.2">
      <c r="A45" s="29"/>
      <c r="B45" s="30"/>
      <c r="C45" s="333"/>
      <c r="D45" s="251"/>
      <c r="E45" s="138"/>
      <c r="F45" s="138"/>
      <c r="G45" s="138"/>
    </row>
    <row r="46" spans="1:7" ht="15.75" customHeight="1" x14ac:dyDescent="0.2">
      <c r="A46" s="29"/>
      <c r="B46" s="30"/>
      <c r="C46" s="138"/>
      <c r="D46" s="138"/>
      <c r="E46" s="138"/>
      <c r="F46" s="138"/>
      <c r="G46" s="138"/>
    </row>
    <row r="47" spans="1:7" ht="15.75" customHeight="1" x14ac:dyDescent="0.2">
      <c r="A47" s="29"/>
      <c r="B47" s="30"/>
      <c r="C47" s="139"/>
      <c r="D47" s="138"/>
      <c r="E47" s="138"/>
      <c r="F47" s="138"/>
      <c r="G47" s="138"/>
    </row>
    <row r="48" spans="1:7" ht="15.75" customHeight="1" x14ac:dyDescent="0.2">
      <c r="A48" s="29"/>
      <c r="B48" s="30"/>
      <c r="C48" s="138"/>
      <c r="D48" s="138"/>
      <c r="E48" s="138"/>
      <c r="F48" s="138"/>
      <c r="G48" s="138"/>
    </row>
    <row r="49" spans="2:2" ht="15.75" customHeight="1" x14ac:dyDescent="0.3">
      <c r="B49" s="33">
        <f>C4</f>
        <v>90</v>
      </c>
    </row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/>
    <row r="54" spans="2:2" ht="15.75" customHeight="1" x14ac:dyDescent="0.2"/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7">
    <mergeCell ref="B9:B10"/>
    <mergeCell ref="B14:B16"/>
    <mergeCell ref="A7:B8"/>
    <mergeCell ref="A9:A10"/>
    <mergeCell ref="D7:E8"/>
    <mergeCell ref="C9:C10"/>
    <mergeCell ref="D9:E9"/>
    <mergeCell ref="G21:G22"/>
    <mergeCell ref="G14:G16"/>
    <mergeCell ref="F33:G33"/>
    <mergeCell ref="F34:G34"/>
    <mergeCell ref="A17:A19"/>
    <mergeCell ref="A11:A16"/>
    <mergeCell ref="D25:E25"/>
    <mergeCell ref="D26:E26"/>
    <mergeCell ref="D28:E28"/>
    <mergeCell ref="D29:E29"/>
    <mergeCell ref="B32:G32"/>
    <mergeCell ref="B31:G31"/>
    <mergeCell ref="D18:E18"/>
    <mergeCell ref="D15:E15"/>
    <mergeCell ref="D14:E14"/>
    <mergeCell ref="C17:C19"/>
    <mergeCell ref="C14:C16"/>
    <mergeCell ref="D17:E17"/>
    <mergeCell ref="D16:E16"/>
    <mergeCell ref="C45:D45"/>
    <mergeCell ref="E37:E43"/>
    <mergeCell ref="D19:E19"/>
    <mergeCell ref="D22:E22"/>
    <mergeCell ref="A20:A22"/>
    <mergeCell ref="B21:B22"/>
    <mergeCell ref="D21:E21"/>
    <mergeCell ref="D23:E23"/>
    <mergeCell ref="D20:E20"/>
    <mergeCell ref="C35:D35"/>
    <mergeCell ref="A33:E34"/>
    <mergeCell ref="A27:A28"/>
    <mergeCell ref="A25:A26"/>
    <mergeCell ref="D27:E27"/>
    <mergeCell ref="D30:E30"/>
    <mergeCell ref="D24:E24"/>
    <mergeCell ref="D4:G4"/>
    <mergeCell ref="D3:G3"/>
    <mergeCell ref="A2:G2"/>
    <mergeCell ref="C7:C8"/>
    <mergeCell ref="G7:G8"/>
    <mergeCell ref="A6:B6"/>
    <mergeCell ref="A5:B5"/>
    <mergeCell ref="F7:F8"/>
    <mergeCell ref="C5:G5"/>
    <mergeCell ref="C6:G6"/>
    <mergeCell ref="D10:E10"/>
    <mergeCell ref="G9:G13"/>
    <mergeCell ref="D13:E13"/>
    <mergeCell ref="D12:E12"/>
    <mergeCell ref="D11:E11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workbookViewId="0"/>
  </sheetViews>
  <sheetFormatPr defaultColWidth="14.390625" defaultRowHeight="15" customHeight="1" x14ac:dyDescent="0.2"/>
  <cols>
    <col min="1" max="1" width="28.515625" customWidth="1"/>
    <col min="2" max="2" width="17.75390625" customWidth="1"/>
    <col min="3" max="3" width="13.5859375" customWidth="1"/>
    <col min="4" max="4" width="7.26171875" customWidth="1"/>
    <col min="5" max="5" width="6.72265625" customWidth="1"/>
    <col min="6" max="6" width="7.93359375" customWidth="1"/>
    <col min="7" max="7" width="11.43359375" customWidth="1"/>
  </cols>
  <sheetData>
    <row r="1" spans="1:7" ht="23.25" x14ac:dyDescent="0.3">
      <c r="A1" s="119" t="s">
        <v>148</v>
      </c>
      <c r="B1" s="144"/>
      <c r="C1" s="144"/>
      <c r="D1" s="144"/>
      <c r="E1" s="144"/>
      <c r="F1" s="144"/>
      <c r="G1" s="144"/>
    </row>
    <row r="2" spans="1:7" ht="20.25" x14ac:dyDescent="0.25">
      <c r="A2" s="261" t="s">
        <v>186</v>
      </c>
      <c r="B2" s="238"/>
      <c r="C2" s="238"/>
      <c r="D2" s="238"/>
      <c r="E2" s="238"/>
      <c r="F2" s="238"/>
      <c r="G2" s="236"/>
    </row>
    <row r="3" spans="1:7" ht="20.25" x14ac:dyDescent="0.25">
      <c r="A3" s="263" t="s">
        <v>3</v>
      </c>
      <c r="B3" s="236"/>
      <c r="C3" s="154">
        <v>200</v>
      </c>
      <c r="D3" s="330" t="s">
        <v>4</v>
      </c>
      <c r="E3" s="238"/>
      <c r="F3" s="238"/>
      <c r="G3" s="236"/>
    </row>
    <row r="4" spans="1:7" ht="20.25" x14ac:dyDescent="0.25">
      <c r="A4" s="247" t="s">
        <v>6</v>
      </c>
      <c r="B4" s="236"/>
      <c r="C4" s="154">
        <v>200</v>
      </c>
      <c r="D4" s="330" t="s">
        <v>4</v>
      </c>
      <c r="E4" s="238"/>
      <c r="F4" s="238"/>
      <c r="G4" s="236"/>
    </row>
    <row r="5" spans="1:7" ht="20.25" x14ac:dyDescent="0.25">
      <c r="A5" s="263" t="s">
        <v>72</v>
      </c>
      <c r="B5" s="236"/>
      <c r="C5" s="330"/>
      <c r="D5" s="238"/>
      <c r="E5" s="238"/>
      <c r="F5" s="238"/>
      <c r="G5" s="236"/>
    </row>
    <row r="6" spans="1:7" ht="20.25" x14ac:dyDescent="0.25">
      <c r="A6" s="263" t="s">
        <v>183</v>
      </c>
      <c r="B6" s="236"/>
      <c r="C6" s="263"/>
      <c r="D6" s="238"/>
      <c r="E6" s="238"/>
      <c r="F6" s="238"/>
      <c r="G6" s="236"/>
    </row>
    <row r="7" spans="1:7" ht="15" customHeight="1" x14ac:dyDescent="0.2">
      <c r="A7" s="248" t="s">
        <v>10</v>
      </c>
      <c r="B7" s="242"/>
      <c r="C7" s="253" t="s">
        <v>11</v>
      </c>
      <c r="D7" s="346" t="s">
        <v>150</v>
      </c>
      <c r="E7" s="242"/>
      <c r="F7" s="270" t="s">
        <v>13</v>
      </c>
      <c r="G7" s="342" t="s">
        <v>14</v>
      </c>
    </row>
    <row r="8" spans="1:7" x14ac:dyDescent="0.2">
      <c r="A8" s="243"/>
      <c r="B8" s="245"/>
      <c r="C8" s="255"/>
      <c r="D8" s="243"/>
      <c r="E8" s="245"/>
      <c r="F8" s="255"/>
      <c r="G8" s="255"/>
    </row>
    <row r="9" spans="1:7" x14ac:dyDescent="0.15">
      <c r="A9" s="256" t="s">
        <v>19</v>
      </c>
      <c r="B9" s="270" t="s">
        <v>184</v>
      </c>
      <c r="C9" s="270"/>
      <c r="D9" s="249">
        <f>C3</f>
        <v>200</v>
      </c>
      <c r="E9" s="236"/>
      <c r="F9" s="11">
        <v>2</v>
      </c>
      <c r="G9" s="270">
        <v>90</v>
      </c>
    </row>
    <row r="10" spans="1:7" x14ac:dyDescent="0.15">
      <c r="A10" s="255"/>
      <c r="B10" s="255"/>
      <c r="C10" s="254"/>
      <c r="D10" s="249">
        <f>C4-5</f>
        <v>195</v>
      </c>
      <c r="E10" s="236"/>
      <c r="F10" s="11">
        <v>1</v>
      </c>
      <c r="G10" s="254"/>
    </row>
    <row r="11" spans="1:7" x14ac:dyDescent="0.15">
      <c r="A11" s="256" t="s">
        <v>66</v>
      </c>
      <c r="B11" s="155" t="s">
        <v>188</v>
      </c>
      <c r="C11" s="22" t="s">
        <v>158</v>
      </c>
      <c r="D11" s="249">
        <f>C3-4.1</f>
        <v>195.9</v>
      </c>
      <c r="E11" s="236"/>
      <c r="F11" s="11">
        <v>4</v>
      </c>
      <c r="G11" s="254"/>
    </row>
    <row r="12" spans="1:7" x14ac:dyDescent="0.2">
      <c r="A12" s="254"/>
      <c r="B12" s="155" t="s">
        <v>188</v>
      </c>
      <c r="C12" s="77" t="s">
        <v>158</v>
      </c>
      <c r="D12" s="249">
        <f>(C4-42.6)/2</f>
        <v>78.7</v>
      </c>
      <c r="E12" s="236"/>
      <c r="F12" s="11">
        <v>6</v>
      </c>
      <c r="G12" s="254"/>
    </row>
    <row r="13" spans="1:7" x14ac:dyDescent="0.2">
      <c r="A13" s="254"/>
      <c r="B13" s="130" t="s">
        <v>189</v>
      </c>
      <c r="C13" s="77" t="s">
        <v>156</v>
      </c>
      <c r="D13" s="249">
        <f>D12</f>
        <v>78.7</v>
      </c>
      <c r="E13" s="236"/>
      <c r="F13" s="11">
        <v>2</v>
      </c>
      <c r="G13" s="255"/>
    </row>
    <row r="14" spans="1:7" x14ac:dyDescent="0.15">
      <c r="A14" s="254"/>
      <c r="B14" s="270" t="s">
        <v>159</v>
      </c>
      <c r="C14" s="344"/>
      <c r="D14" s="249">
        <v>3.4</v>
      </c>
      <c r="E14" s="236"/>
      <c r="F14" s="11">
        <v>4</v>
      </c>
      <c r="G14" s="270">
        <v>90</v>
      </c>
    </row>
    <row r="15" spans="1:7" x14ac:dyDescent="0.15">
      <c r="A15" s="254"/>
      <c r="B15" s="254"/>
      <c r="C15" s="254"/>
      <c r="D15" s="249">
        <v>2.8</v>
      </c>
      <c r="E15" s="236"/>
      <c r="F15" s="11">
        <v>4</v>
      </c>
      <c r="G15" s="254"/>
    </row>
    <row r="16" spans="1:7" x14ac:dyDescent="0.15">
      <c r="A16" s="255"/>
      <c r="B16" s="255"/>
      <c r="C16" s="255"/>
      <c r="D16" s="249">
        <v>2.2000000000000002</v>
      </c>
      <c r="E16" s="236"/>
      <c r="F16" s="11">
        <v>4</v>
      </c>
      <c r="G16" s="255"/>
    </row>
    <row r="17" spans="1:7" x14ac:dyDescent="0.15">
      <c r="A17" s="256" t="s">
        <v>160</v>
      </c>
      <c r="B17" s="59" t="s">
        <v>161</v>
      </c>
      <c r="C17" s="344"/>
      <c r="D17" s="249">
        <f>D12</f>
        <v>78.7</v>
      </c>
      <c r="E17" s="236"/>
      <c r="F17" s="11">
        <v>8</v>
      </c>
      <c r="G17" s="59">
        <v>90</v>
      </c>
    </row>
    <row r="18" spans="1:7" x14ac:dyDescent="0.15">
      <c r="A18" s="254"/>
      <c r="B18" s="59" t="s">
        <v>185</v>
      </c>
      <c r="C18" s="254"/>
      <c r="D18" s="249">
        <f>(D9-15.8)/2</f>
        <v>92.1</v>
      </c>
      <c r="E18" s="236"/>
      <c r="F18" s="11">
        <v>4</v>
      </c>
      <c r="G18" s="59">
        <v>90</v>
      </c>
    </row>
    <row r="19" spans="1:7" x14ac:dyDescent="0.15">
      <c r="A19" s="254"/>
      <c r="B19" s="59" t="s">
        <v>185</v>
      </c>
      <c r="C19" s="254"/>
      <c r="D19" s="249">
        <f>(D9-380)/2</f>
        <v>-90</v>
      </c>
      <c r="E19" s="236"/>
      <c r="F19" s="11">
        <v>4</v>
      </c>
      <c r="G19" s="59">
        <v>90</v>
      </c>
    </row>
    <row r="20" spans="1:7" x14ac:dyDescent="0.15">
      <c r="A20" s="360" t="s">
        <v>163</v>
      </c>
      <c r="B20" s="11"/>
      <c r="C20" s="11" t="s">
        <v>3</v>
      </c>
      <c r="D20" s="361" t="s">
        <v>6</v>
      </c>
      <c r="E20" s="236"/>
      <c r="F20" s="11"/>
      <c r="G20" s="11"/>
    </row>
    <row r="21" spans="1:7" ht="15.75" customHeight="1" x14ac:dyDescent="0.15">
      <c r="A21" s="254"/>
      <c r="B21" s="344"/>
      <c r="C21" s="161">
        <f>(D9-39.6)/2</f>
        <v>80.2</v>
      </c>
      <c r="D21" s="359">
        <f>D12-0.8</f>
        <v>77.900000000000006</v>
      </c>
      <c r="E21" s="236"/>
      <c r="F21" s="158">
        <v>2</v>
      </c>
      <c r="G21" s="270"/>
    </row>
    <row r="22" spans="1:7" ht="15.75" customHeight="1" x14ac:dyDescent="0.15">
      <c r="A22" s="255"/>
      <c r="B22" s="255"/>
      <c r="C22" s="162">
        <f>(C3-27.2)/2</f>
        <v>86.4</v>
      </c>
      <c r="D22" s="359">
        <f>D21</f>
        <v>77.900000000000006</v>
      </c>
      <c r="E22" s="236"/>
      <c r="F22" s="158">
        <v>2</v>
      </c>
      <c r="G22" s="255"/>
    </row>
    <row r="23" spans="1:7" ht="15.75" customHeight="1" x14ac:dyDescent="0.15">
      <c r="A23" s="135" t="s">
        <v>164</v>
      </c>
      <c r="B23" s="11" t="s">
        <v>165</v>
      </c>
      <c r="C23" s="59"/>
      <c r="D23" s="257"/>
      <c r="E23" s="236"/>
      <c r="F23" s="51">
        <f>(C22*16)+(D22*16)</f>
        <v>2628.8</v>
      </c>
      <c r="G23" s="59" t="s">
        <v>43</v>
      </c>
    </row>
    <row r="24" spans="1:7" ht="15.75" customHeight="1" x14ac:dyDescent="0.15">
      <c r="A24" s="286" t="s">
        <v>48</v>
      </c>
      <c r="B24" s="11" t="s">
        <v>166</v>
      </c>
      <c r="C24" s="11" t="s">
        <v>167</v>
      </c>
      <c r="D24" s="246"/>
      <c r="E24" s="236"/>
      <c r="F24" s="11">
        <v>40</v>
      </c>
      <c r="G24" s="11"/>
    </row>
    <row r="25" spans="1:7" ht="15.75" customHeight="1" x14ac:dyDescent="0.15">
      <c r="A25" s="255"/>
      <c r="B25" s="11" t="s">
        <v>166</v>
      </c>
      <c r="C25" s="11" t="s">
        <v>168</v>
      </c>
      <c r="D25" s="246"/>
      <c r="E25" s="236"/>
      <c r="F25" s="11">
        <v>8</v>
      </c>
      <c r="G25" s="11"/>
    </row>
    <row r="26" spans="1:7" ht="15.75" customHeight="1" x14ac:dyDescent="0.15">
      <c r="A26" s="286" t="s">
        <v>169</v>
      </c>
      <c r="B26" s="11" t="s">
        <v>170</v>
      </c>
      <c r="C26" s="11" t="s">
        <v>171</v>
      </c>
      <c r="D26" s="246"/>
      <c r="E26" s="236"/>
      <c r="F26" s="11">
        <v>8</v>
      </c>
      <c r="G26" s="11"/>
    </row>
    <row r="27" spans="1:7" ht="15.75" customHeight="1" x14ac:dyDescent="0.15">
      <c r="A27" s="255"/>
      <c r="B27" s="11" t="s">
        <v>172</v>
      </c>
      <c r="C27" s="11" t="s">
        <v>173</v>
      </c>
      <c r="D27" s="246"/>
      <c r="E27" s="236"/>
      <c r="F27" s="11">
        <v>8</v>
      </c>
      <c r="G27" s="11"/>
    </row>
    <row r="28" spans="1:7" ht="15.75" customHeight="1" x14ac:dyDescent="0.2">
      <c r="A28" s="136" t="s">
        <v>174</v>
      </c>
      <c r="B28" s="11" t="s">
        <v>175</v>
      </c>
      <c r="C28" s="11"/>
      <c r="D28" s="246"/>
      <c r="E28" s="236"/>
      <c r="F28" s="11">
        <v>8</v>
      </c>
      <c r="G28" s="11"/>
    </row>
    <row r="29" spans="1:7" ht="15.75" customHeight="1" x14ac:dyDescent="0.2">
      <c r="A29" s="136" t="s">
        <v>176</v>
      </c>
      <c r="B29" s="11" t="s">
        <v>177</v>
      </c>
      <c r="C29" s="11"/>
      <c r="D29" s="246"/>
      <c r="E29" s="236"/>
      <c r="F29" s="11">
        <v>1</v>
      </c>
      <c r="G29" s="11"/>
    </row>
    <row r="30" spans="1:7" ht="15.75" customHeight="1" x14ac:dyDescent="0.2">
      <c r="A30" s="137" t="s">
        <v>56</v>
      </c>
      <c r="B30" s="348"/>
      <c r="C30" s="238"/>
      <c r="D30" s="238"/>
      <c r="E30" s="238"/>
      <c r="F30" s="238"/>
      <c r="G30" s="236"/>
    </row>
    <row r="31" spans="1:7" ht="15.75" customHeight="1" x14ac:dyDescent="0.2">
      <c r="A31" s="137" t="s">
        <v>57</v>
      </c>
      <c r="B31" s="348"/>
      <c r="C31" s="238"/>
      <c r="D31" s="238"/>
      <c r="E31" s="238"/>
      <c r="F31" s="238"/>
      <c r="G31" s="236"/>
    </row>
    <row r="32" spans="1:7" ht="15.75" customHeight="1" x14ac:dyDescent="0.2">
      <c r="A32" s="240" t="s">
        <v>58</v>
      </c>
      <c r="B32" s="241"/>
      <c r="C32" s="241"/>
      <c r="D32" s="241"/>
      <c r="E32" s="242"/>
      <c r="F32" s="239"/>
      <c r="G32" s="236"/>
    </row>
    <row r="33" spans="1:7" ht="15.75" customHeight="1" x14ac:dyDescent="0.2">
      <c r="A33" s="243"/>
      <c r="B33" s="244"/>
      <c r="C33" s="244"/>
      <c r="D33" s="244"/>
      <c r="E33" s="245"/>
      <c r="F33" s="239" t="s">
        <v>59</v>
      </c>
      <c r="G33" s="236"/>
    </row>
    <row r="34" spans="1:7" ht="15.75" customHeight="1" x14ac:dyDescent="0.15">
      <c r="A34" s="29"/>
      <c r="B34" s="357"/>
      <c r="C34" s="241"/>
      <c r="D34" s="241"/>
      <c r="E34" s="138"/>
      <c r="F34" s="138"/>
      <c r="G34" s="138"/>
    </row>
    <row r="35" spans="1:7" ht="15.75" customHeight="1" x14ac:dyDescent="0.2">
      <c r="A35" s="29"/>
      <c r="B35" s="30"/>
      <c r="C35" s="2"/>
      <c r="D35" s="138"/>
      <c r="E35" s="138"/>
      <c r="F35" s="138"/>
      <c r="G35" s="138"/>
    </row>
    <row r="36" spans="1:7" ht="15.75" customHeight="1" x14ac:dyDescent="0.2">
      <c r="A36" s="29"/>
      <c r="B36" s="30"/>
      <c r="C36" s="138"/>
      <c r="D36" s="138"/>
      <c r="E36" s="150"/>
      <c r="F36" s="138"/>
      <c r="G36" s="138"/>
    </row>
    <row r="37" spans="1:7" ht="15.75" customHeight="1" x14ac:dyDescent="0.2">
      <c r="A37" s="29"/>
      <c r="B37" s="30"/>
      <c r="C37" s="138"/>
      <c r="D37" s="138"/>
      <c r="E37" s="151"/>
      <c r="F37" s="138"/>
      <c r="G37" s="138"/>
    </row>
    <row r="38" spans="1:7" ht="15.75" customHeight="1" x14ac:dyDescent="0.2">
      <c r="A38" s="29"/>
      <c r="B38" s="30"/>
      <c r="C38" s="138"/>
      <c r="D38" s="138"/>
      <c r="E38" s="151"/>
      <c r="F38" s="138"/>
      <c r="G38" s="138"/>
    </row>
    <row r="39" spans="1:7" ht="15.75" customHeight="1" x14ac:dyDescent="0.2">
      <c r="A39" s="29"/>
      <c r="B39" s="30"/>
      <c r="C39" s="138"/>
      <c r="D39" s="138"/>
      <c r="E39" s="151"/>
      <c r="F39" s="138"/>
      <c r="G39" s="138"/>
    </row>
    <row r="40" spans="1:7" ht="15.75" customHeight="1" x14ac:dyDescent="0.2">
      <c r="A40" s="29"/>
      <c r="B40" s="30"/>
      <c r="C40" s="138"/>
      <c r="D40" s="138"/>
      <c r="E40" s="358">
        <f>C3</f>
        <v>200</v>
      </c>
      <c r="F40" s="251"/>
      <c r="G40" s="138"/>
    </row>
    <row r="41" spans="1:7" ht="15.75" customHeight="1" x14ac:dyDescent="0.2">
      <c r="A41" s="29"/>
      <c r="B41" s="30"/>
      <c r="C41" s="138"/>
      <c r="D41" s="138"/>
      <c r="E41" s="151"/>
      <c r="F41" s="138"/>
      <c r="G41" s="138"/>
    </row>
    <row r="42" spans="1:7" ht="15.75" customHeight="1" x14ac:dyDescent="0.2">
      <c r="A42" s="29"/>
      <c r="B42" s="30"/>
      <c r="C42" s="138"/>
      <c r="D42" s="138"/>
      <c r="E42" s="151"/>
      <c r="F42" s="138"/>
      <c r="G42" s="138"/>
    </row>
    <row r="43" spans="1:7" ht="15.75" customHeight="1" x14ac:dyDescent="0.2">
      <c r="A43" s="29"/>
      <c r="B43" s="30"/>
      <c r="C43" s="138"/>
      <c r="D43" s="138"/>
      <c r="E43" s="138"/>
      <c r="F43" s="138"/>
      <c r="G43" s="138"/>
    </row>
    <row r="44" spans="1:7" ht="15.75" customHeight="1" x14ac:dyDescent="0.15">
      <c r="A44" s="29"/>
      <c r="B44" s="333"/>
      <c r="C44" s="251"/>
      <c r="D44" s="251"/>
      <c r="E44" s="138"/>
      <c r="F44" s="138"/>
      <c r="G44" s="138"/>
    </row>
    <row r="45" spans="1:7" ht="15.75" customHeight="1" x14ac:dyDescent="0.2">
      <c r="A45" s="29"/>
      <c r="B45" s="30"/>
      <c r="C45" s="138"/>
      <c r="D45" s="138"/>
      <c r="E45" s="138"/>
      <c r="F45" s="138"/>
      <c r="G45" s="138"/>
    </row>
    <row r="46" spans="1:7" ht="15.75" customHeight="1" x14ac:dyDescent="0.2"/>
    <row r="47" spans="1:7" ht="15.75" customHeight="1" x14ac:dyDescent="0.2"/>
    <row r="48" spans="1:7" ht="15.75" customHeight="1" x14ac:dyDescent="0.3">
      <c r="B48" s="252">
        <f>C4</f>
        <v>200</v>
      </c>
      <c r="C48" s="251"/>
      <c r="D48" s="251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9">
    <mergeCell ref="B44:D44"/>
    <mergeCell ref="B48:D48"/>
    <mergeCell ref="B34:D34"/>
    <mergeCell ref="A32:E33"/>
    <mergeCell ref="F33:G33"/>
    <mergeCell ref="A2:G2"/>
    <mergeCell ref="A6:B6"/>
    <mergeCell ref="D27:E27"/>
    <mergeCell ref="D26:E26"/>
    <mergeCell ref="E40:F40"/>
    <mergeCell ref="G21:G22"/>
    <mergeCell ref="B21:B22"/>
    <mergeCell ref="A3:B3"/>
    <mergeCell ref="A4:B4"/>
    <mergeCell ref="A5:B5"/>
    <mergeCell ref="A7:B8"/>
    <mergeCell ref="C7:C8"/>
    <mergeCell ref="C5:G5"/>
    <mergeCell ref="C6:G6"/>
    <mergeCell ref="D3:G3"/>
    <mergeCell ref="D4:G4"/>
    <mergeCell ref="G7:G8"/>
    <mergeCell ref="A9:A10"/>
    <mergeCell ref="A17:A19"/>
    <mergeCell ref="A26:A27"/>
    <mergeCell ref="A24:A25"/>
    <mergeCell ref="A20:A22"/>
    <mergeCell ref="A11:A16"/>
    <mergeCell ref="F32:G32"/>
    <mergeCell ref="B31:G31"/>
    <mergeCell ref="G14:G16"/>
    <mergeCell ref="D24:E24"/>
    <mergeCell ref="B9:B10"/>
    <mergeCell ref="D28:E28"/>
    <mergeCell ref="D25:E25"/>
    <mergeCell ref="D7:E8"/>
    <mergeCell ref="F7:F8"/>
    <mergeCell ref="B30:G30"/>
    <mergeCell ref="D29:E29"/>
    <mergeCell ref="B14:B16"/>
    <mergeCell ref="C14:C16"/>
    <mergeCell ref="D14:E14"/>
    <mergeCell ref="D23:E23"/>
    <mergeCell ref="D22:E22"/>
    <mergeCell ref="C9:C10"/>
    <mergeCell ref="D21:E21"/>
    <mergeCell ref="D20:E20"/>
    <mergeCell ref="C17:C19"/>
    <mergeCell ref="D16:E16"/>
    <mergeCell ref="D17:E17"/>
    <mergeCell ref="D18:E18"/>
    <mergeCell ref="D19:E19"/>
    <mergeCell ref="D15:E15"/>
    <mergeCell ref="G9:G13"/>
    <mergeCell ref="D11:E11"/>
    <mergeCell ref="D10:E10"/>
    <mergeCell ref="D9:E9"/>
    <mergeCell ref="D13:E13"/>
    <mergeCell ref="D12:E12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"/>
  <sheetViews>
    <sheetView workbookViewId="0"/>
  </sheetViews>
  <sheetFormatPr defaultColWidth="14.390625" defaultRowHeight="15" customHeight="1" x14ac:dyDescent="0.2"/>
  <cols>
    <col min="1" max="1" width="16.94921875" customWidth="1"/>
    <col min="2" max="2" width="13.5859375" customWidth="1"/>
    <col min="3" max="3" width="11.1640625" customWidth="1"/>
    <col min="4" max="4" width="9.01171875" customWidth="1"/>
    <col min="5" max="5" width="8.33984375" customWidth="1"/>
    <col min="6" max="6" width="6.72265625" customWidth="1"/>
    <col min="7" max="7" width="12.375" customWidth="1"/>
  </cols>
  <sheetData>
    <row r="1" spans="1:7" ht="20.25" x14ac:dyDescent="0.25">
      <c r="A1" s="263" t="s">
        <v>0</v>
      </c>
      <c r="B1" s="238"/>
      <c r="C1" s="238"/>
      <c r="D1" s="238"/>
      <c r="E1" s="238"/>
      <c r="F1" s="238"/>
      <c r="G1" s="236"/>
    </row>
    <row r="2" spans="1:7" ht="20.25" x14ac:dyDescent="0.25">
      <c r="A2" s="261" t="s">
        <v>193</v>
      </c>
      <c r="B2" s="238"/>
      <c r="C2" s="238"/>
      <c r="D2" s="238"/>
      <c r="E2" s="238"/>
      <c r="F2" s="238"/>
      <c r="G2" s="236"/>
    </row>
    <row r="3" spans="1:7" ht="20.25" x14ac:dyDescent="0.25">
      <c r="A3" s="71" t="s">
        <v>3</v>
      </c>
      <c r="B3" s="362">
        <v>141</v>
      </c>
      <c r="C3" s="236"/>
      <c r="D3" s="330" t="s">
        <v>4</v>
      </c>
      <c r="E3" s="238"/>
      <c r="F3" s="238"/>
      <c r="G3" s="236"/>
    </row>
    <row r="4" spans="1:7" ht="20.25" x14ac:dyDescent="0.25">
      <c r="A4" s="71" t="s">
        <v>6</v>
      </c>
      <c r="B4" s="362">
        <v>162</v>
      </c>
      <c r="C4" s="236"/>
      <c r="D4" s="330" t="s">
        <v>4</v>
      </c>
      <c r="E4" s="238"/>
      <c r="F4" s="238"/>
      <c r="G4" s="236"/>
    </row>
    <row r="5" spans="1:7" ht="20.25" x14ac:dyDescent="0.25">
      <c r="A5" s="263" t="s">
        <v>72</v>
      </c>
      <c r="B5" s="236"/>
      <c r="C5" s="371"/>
      <c r="D5" s="238"/>
      <c r="E5" s="238"/>
      <c r="F5" s="238"/>
      <c r="G5" s="236"/>
    </row>
    <row r="6" spans="1:7" ht="20.25" x14ac:dyDescent="0.25">
      <c r="A6" s="263" t="s">
        <v>9</v>
      </c>
      <c r="B6" s="236"/>
      <c r="C6" s="371"/>
      <c r="D6" s="238"/>
      <c r="E6" s="238"/>
      <c r="F6" s="238"/>
      <c r="G6" s="236"/>
    </row>
    <row r="7" spans="1:7" ht="15" customHeight="1" x14ac:dyDescent="0.2">
      <c r="A7" s="248" t="s">
        <v>10</v>
      </c>
      <c r="B7" s="242"/>
      <c r="C7" s="253" t="s">
        <v>11</v>
      </c>
      <c r="D7" s="370" t="s">
        <v>194</v>
      </c>
      <c r="E7" s="242"/>
      <c r="F7" s="270" t="s">
        <v>13</v>
      </c>
      <c r="G7" s="270" t="s">
        <v>84</v>
      </c>
    </row>
    <row r="8" spans="1:7" x14ac:dyDescent="0.2">
      <c r="A8" s="243"/>
      <c r="B8" s="245"/>
      <c r="C8" s="255"/>
      <c r="D8" s="243"/>
      <c r="E8" s="245"/>
      <c r="F8" s="255"/>
      <c r="G8" s="255"/>
    </row>
    <row r="9" spans="1:7" ht="24" x14ac:dyDescent="0.15">
      <c r="A9" s="253" t="s">
        <v>19</v>
      </c>
      <c r="B9" s="59" t="s">
        <v>195</v>
      </c>
      <c r="C9" s="59" t="s">
        <v>196</v>
      </c>
      <c r="D9" s="369">
        <f>B3</f>
        <v>141</v>
      </c>
      <c r="E9" s="236"/>
      <c r="F9" s="13">
        <v>2</v>
      </c>
      <c r="G9" s="13">
        <v>90</v>
      </c>
    </row>
    <row r="10" spans="1:7" x14ac:dyDescent="0.15">
      <c r="A10" s="254"/>
      <c r="B10" s="11" t="s">
        <v>26</v>
      </c>
      <c r="C10" s="11" t="s">
        <v>197</v>
      </c>
      <c r="D10" s="249">
        <f>B4-3.2</f>
        <v>158.80000000000001</v>
      </c>
      <c r="E10" s="236"/>
      <c r="F10" s="11">
        <v>2</v>
      </c>
      <c r="G10" s="11">
        <v>90</v>
      </c>
    </row>
    <row r="11" spans="1:7" x14ac:dyDescent="0.15">
      <c r="A11" s="254"/>
      <c r="B11" s="270" t="s">
        <v>198</v>
      </c>
      <c r="C11" s="270" t="s">
        <v>199</v>
      </c>
      <c r="D11" s="249">
        <f>D9-2.2</f>
        <v>138.80000000000001</v>
      </c>
      <c r="E11" s="236"/>
      <c r="F11" s="11">
        <v>2</v>
      </c>
      <c r="G11" s="11">
        <v>45</v>
      </c>
    </row>
    <row r="12" spans="1:7" x14ac:dyDescent="0.15">
      <c r="A12" s="255"/>
      <c r="B12" s="255"/>
      <c r="C12" s="255"/>
      <c r="D12" s="249">
        <f>D10</f>
        <v>158.80000000000001</v>
      </c>
      <c r="E12" s="236"/>
      <c r="F12" s="11">
        <v>2</v>
      </c>
      <c r="G12" s="11">
        <v>90</v>
      </c>
    </row>
    <row r="13" spans="1:7" x14ac:dyDescent="0.15">
      <c r="A13" s="372" t="s">
        <v>163</v>
      </c>
      <c r="B13" s="365"/>
      <c r="C13" s="242"/>
      <c r="D13" s="51" t="s">
        <v>3</v>
      </c>
      <c r="E13" s="51" t="s">
        <v>6</v>
      </c>
      <c r="F13" s="11"/>
      <c r="G13" s="11"/>
    </row>
    <row r="14" spans="1:7" x14ac:dyDescent="0.15">
      <c r="A14" s="255"/>
      <c r="B14" s="243"/>
      <c r="C14" s="245"/>
      <c r="D14" s="163">
        <f>B4-4.2</f>
        <v>157.80000000000001</v>
      </c>
      <c r="E14" s="163">
        <f>B3-4.2</f>
        <v>136.80000000000001</v>
      </c>
      <c r="F14" s="158">
        <v>2</v>
      </c>
      <c r="G14" s="11"/>
    </row>
    <row r="15" spans="1:7" x14ac:dyDescent="0.15">
      <c r="A15" s="18" t="s">
        <v>42</v>
      </c>
      <c r="B15" s="11" t="s">
        <v>165</v>
      </c>
      <c r="C15" s="11"/>
      <c r="D15" s="249"/>
      <c r="E15" s="236"/>
      <c r="F15" s="11">
        <f>(D14*4)+(E14*4)</f>
        <v>1178.4000000000001</v>
      </c>
      <c r="G15" s="11" t="s">
        <v>43</v>
      </c>
    </row>
    <row r="16" spans="1:7" x14ac:dyDescent="0.15">
      <c r="A16" s="18" t="s">
        <v>200</v>
      </c>
      <c r="B16" s="24" t="s">
        <v>201</v>
      </c>
      <c r="C16" s="11"/>
      <c r="D16" s="249"/>
      <c r="E16" s="236"/>
      <c r="F16" s="11">
        <v>16</v>
      </c>
      <c r="G16" s="11"/>
    </row>
    <row r="17" spans="1:7" x14ac:dyDescent="0.15">
      <c r="A17" s="253" t="s">
        <v>169</v>
      </c>
      <c r="B17" s="11" t="s">
        <v>202</v>
      </c>
      <c r="C17" s="11" t="s">
        <v>203</v>
      </c>
      <c r="D17" s="246"/>
      <c r="E17" s="236"/>
      <c r="F17" s="11">
        <v>8</v>
      </c>
      <c r="G17" s="11"/>
    </row>
    <row r="18" spans="1:7" x14ac:dyDescent="0.15">
      <c r="A18" s="255"/>
      <c r="B18" s="11" t="s">
        <v>170</v>
      </c>
      <c r="C18" s="11" t="s">
        <v>173</v>
      </c>
      <c r="D18" s="246"/>
      <c r="E18" s="236"/>
      <c r="F18" s="11">
        <v>6</v>
      </c>
      <c r="G18" s="11"/>
    </row>
    <row r="19" spans="1:7" x14ac:dyDescent="0.15">
      <c r="A19" s="18" t="s">
        <v>172</v>
      </c>
      <c r="B19" s="11" t="s">
        <v>204</v>
      </c>
      <c r="C19" s="11"/>
      <c r="D19" s="246"/>
      <c r="E19" s="236"/>
      <c r="F19" s="11">
        <v>6</v>
      </c>
      <c r="G19" s="11"/>
    </row>
    <row r="20" spans="1:7" x14ac:dyDescent="0.15">
      <c r="A20" s="367"/>
      <c r="B20" s="238"/>
      <c r="C20" s="238"/>
      <c r="D20" s="238"/>
      <c r="E20" s="238"/>
      <c r="F20" s="238"/>
      <c r="G20" s="236"/>
    </row>
    <row r="21" spans="1:7" ht="15.75" customHeight="1" x14ac:dyDescent="0.2">
      <c r="A21" s="239" t="s">
        <v>56</v>
      </c>
      <c r="B21" s="236"/>
      <c r="C21" s="366"/>
      <c r="D21" s="238"/>
      <c r="E21" s="238"/>
      <c r="F21" s="238"/>
      <c r="G21" s="236"/>
    </row>
    <row r="22" spans="1:7" ht="15.75" customHeight="1" x14ac:dyDescent="0.2">
      <c r="A22" s="239" t="s">
        <v>57</v>
      </c>
      <c r="B22" s="236"/>
      <c r="C22" s="366"/>
      <c r="D22" s="238"/>
      <c r="E22" s="238"/>
      <c r="F22" s="238"/>
      <c r="G22" s="236"/>
    </row>
    <row r="23" spans="1:7" ht="15.75" customHeight="1" x14ac:dyDescent="0.2">
      <c r="A23" s="240" t="s">
        <v>58</v>
      </c>
      <c r="B23" s="241"/>
      <c r="C23" s="241"/>
      <c r="D23" s="241"/>
      <c r="E23" s="242"/>
      <c r="F23" s="366"/>
      <c r="G23" s="236"/>
    </row>
    <row r="24" spans="1:7" ht="15.75" customHeight="1" x14ac:dyDescent="0.2">
      <c r="A24" s="243"/>
      <c r="B24" s="244"/>
      <c r="C24" s="244"/>
      <c r="D24" s="244"/>
      <c r="E24" s="245"/>
      <c r="F24" s="239" t="s">
        <v>59</v>
      </c>
      <c r="G24" s="236"/>
    </row>
    <row r="25" spans="1:7" ht="15.75" customHeight="1" x14ac:dyDescent="0.2"/>
    <row r="26" spans="1:7" ht="15.75" customHeight="1" x14ac:dyDescent="0.2">
      <c r="E26" s="2"/>
      <c r="F26" s="2"/>
      <c r="G26" s="2"/>
    </row>
    <row r="27" spans="1:7" ht="15.75" customHeight="1" x14ac:dyDescent="0.2">
      <c r="B27" s="368"/>
      <c r="C27" s="364"/>
      <c r="D27" s="364"/>
      <c r="E27" s="2"/>
      <c r="F27" s="2"/>
      <c r="G27" s="2"/>
    </row>
    <row r="28" spans="1:7" ht="15.75" customHeight="1" x14ac:dyDescent="0.2">
      <c r="E28" s="2"/>
      <c r="F28" s="2"/>
      <c r="G28" s="2"/>
    </row>
    <row r="29" spans="1:7" ht="15.75" customHeight="1" x14ac:dyDescent="0.3">
      <c r="E29" s="33">
        <f>B3</f>
        <v>141</v>
      </c>
      <c r="F29" s="2"/>
      <c r="G29" s="2"/>
    </row>
    <row r="30" spans="1:7" ht="15.75" customHeight="1" x14ac:dyDescent="0.2">
      <c r="E30" s="2"/>
      <c r="F30" s="2"/>
      <c r="G30" s="2"/>
    </row>
    <row r="31" spans="1:7" ht="15.75" customHeight="1" x14ac:dyDescent="0.2">
      <c r="E31" s="2"/>
      <c r="F31" s="2"/>
      <c r="G31" s="2"/>
    </row>
    <row r="32" spans="1:7" ht="15.75" customHeight="1" x14ac:dyDescent="0.2">
      <c r="E32" s="2"/>
      <c r="F32" s="2"/>
      <c r="G32" s="2"/>
    </row>
    <row r="33" spans="2:7" ht="15.75" customHeight="1" x14ac:dyDescent="0.2">
      <c r="E33" s="2"/>
      <c r="F33" s="2"/>
      <c r="G33" s="2"/>
    </row>
    <row r="34" spans="2:7" ht="15.75" customHeight="1" x14ac:dyDescent="0.2">
      <c r="E34" s="2"/>
      <c r="F34" s="2"/>
      <c r="G34" s="2"/>
    </row>
    <row r="35" spans="2:7" ht="15.75" customHeight="1" x14ac:dyDescent="0.2">
      <c r="E35" s="2"/>
      <c r="F35" s="2"/>
      <c r="G35" s="2"/>
    </row>
    <row r="36" spans="2:7" ht="15.75" customHeight="1" x14ac:dyDescent="0.3">
      <c r="B36" s="252">
        <f>B4</f>
        <v>162</v>
      </c>
      <c r="C36" s="251"/>
      <c r="D36" s="251"/>
      <c r="E36" s="2"/>
      <c r="F36" s="2"/>
      <c r="G36" s="2"/>
    </row>
    <row r="37" spans="2:7" ht="15.75" customHeight="1" x14ac:dyDescent="0.2">
      <c r="E37" s="2"/>
      <c r="F37" s="2"/>
      <c r="G37" s="2"/>
    </row>
    <row r="38" spans="2:7" ht="15.75" customHeight="1" x14ac:dyDescent="0.2">
      <c r="E38" s="2"/>
      <c r="F38" s="2"/>
      <c r="G38" s="2"/>
    </row>
    <row r="39" spans="2:7" ht="15.75" customHeight="1" x14ac:dyDescent="0.2">
      <c r="B39" s="363"/>
      <c r="C39" s="364"/>
      <c r="D39" s="364"/>
      <c r="E39" s="2"/>
      <c r="F39" s="2"/>
      <c r="G39" s="2"/>
    </row>
    <row r="40" spans="2:7" ht="15.75" customHeight="1" x14ac:dyDescent="0.2">
      <c r="B40" s="284"/>
      <c r="C40" s="251"/>
      <c r="D40" s="251"/>
      <c r="E40" s="2"/>
      <c r="F40" s="2"/>
      <c r="G40" s="2"/>
    </row>
    <row r="41" spans="2:7" ht="15.75" customHeight="1" x14ac:dyDescent="0.2">
      <c r="E41" s="2"/>
      <c r="F41" s="2"/>
      <c r="G41" s="2"/>
    </row>
    <row r="42" spans="2:7" ht="15.75" customHeight="1" x14ac:dyDescent="0.2">
      <c r="E42" s="2"/>
      <c r="F42" s="2"/>
      <c r="G42" s="2"/>
    </row>
    <row r="43" spans="2:7" ht="15.75" customHeight="1" x14ac:dyDescent="0.2">
      <c r="E43" s="2"/>
      <c r="F43" s="2"/>
      <c r="G43" s="2"/>
    </row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42">
    <mergeCell ref="D18:E18"/>
    <mergeCell ref="D9:E9"/>
    <mergeCell ref="D7:E8"/>
    <mergeCell ref="F7:F8"/>
    <mergeCell ref="C6:G6"/>
    <mergeCell ref="G7:G8"/>
    <mergeCell ref="D11:E11"/>
    <mergeCell ref="D10:E10"/>
    <mergeCell ref="D16:E16"/>
    <mergeCell ref="D15:E15"/>
    <mergeCell ref="D12:E12"/>
    <mergeCell ref="A6:B6"/>
    <mergeCell ref="A5:B5"/>
    <mergeCell ref="A17:A18"/>
    <mergeCell ref="B13:C14"/>
    <mergeCell ref="B11:B12"/>
    <mergeCell ref="A7:B8"/>
    <mergeCell ref="C5:G5"/>
    <mergeCell ref="A13:A14"/>
    <mergeCell ref="A9:A12"/>
    <mergeCell ref="B36:D36"/>
    <mergeCell ref="B40:D40"/>
    <mergeCell ref="B39:D39"/>
    <mergeCell ref="C11:C12"/>
    <mergeCell ref="C7:C8"/>
    <mergeCell ref="A22:B22"/>
    <mergeCell ref="C22:G22"/>
    <mergeCell ref="C21:G21"/>
    <mergeCell ref="A20:G20"/>
    <mergeCell ref="A21:B21"/>
    <mergeCell ref="A23:E24"/>
    <mergeCell ref="F23:G23"/>
    <mergeCell ref="F24:G24"/>
    <mergeCell ref="B27:D27"/>
    <mergeCell ref="D19:E19"/>
    <mergeCell ref="D17:E17"/>
    <mergeCell ref="B3:C3"/>
    <mergeCell ref="B4:C4"/>
    <mergeCell ref="D3:G3"/>
    <mergeCell ref="A1:G1"/>
    <mergeCell ref="A2:G2"/>
    <mergeCell ref="D4:G4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"/>
  <sheetViews>
    <sheetView workbookViewId="0"/>
  </sheetViews>
  <sheetFormatPr defaultColWidth="14.390625" defaultRowHeight="15" customHeight="1" x14ac:dyDescent="0.2"/>
  <cols>
    <col min="1" max="1" width="29.7265625" customWidth="1"/>
    <col min="2" max="2" width="20.4453125" customWidth="1"/>
    <col min="3" max="3" width="14.390625" customWidth="1"/>
    <col min="4" max="4" width="7.26171875" customWidth="1"/>
    <col min="5" max="5" width="7.3984375" customWidth="1"/>
    <col min="6" max="6" width="7.53125" customWidth="1"/>
    <col min="7" max="7" width="13.046875" customWidth="1"/>
  </cols>
  <sheetData>
    <row r="1" spans="1:7" ht="23.25" x14ac:dyDescent="0.3">
      <c r="A1" s="119" t="s">
        <v>148</v>
      </c>
      <c r="B1" s="144"/>
      <c r="C1" s="144"/>
      <c r="D1" s="144"/>
      <c r="E1" s="144"/>
      <c r="F1" s="144"/>
      <c r="G1" s="144"/>
    </row>
    <row r="2" spans="1:7" ht="20.25" x14ac:dyDescent="0.25">
      <c r="A2" s="261" t="s">
        <v>205</v>
      </c>
      <c r="B2" s="238"/>
      <c r="C2" s="238"/>
      <c r="D2" s="238"/>
      <c r="E2" s="238"/>
      <c r="F2" s="238"/>
      <c r="G2" s="236"/>
    </row>
    <row r="3" spans="1:7" ht="20.25" x14ac:dyDescent="0.25">
      <c r="A3" s="263" t="s">
        <v>3</v>
      </c>
      <c r="B3" s="236"/>
      <c r="C3" s="154">
        <v>100</v>
      </c>
      <c r="D3" s="330" t="s">
        <v>4</v>
      </c>
      <c r="E3" s="238"/>
      <c r="F3" s="238"/>
      <c r="G3" s="236"/>
    </row>
    <row r="4" spans="1:7" ht="20.25" x14ac:dyDescent="0.25">
      <c r="A4" s="247" t="s">
        <v>6</v>
      </c>
      <c r="B4" s="236"/>
      <c r="C4" s="154">
        <v>100</v>
      </c>
      <c r="D4" s="330" t="s">
        <v>4</v>
      </c>
      <c r="E4" s="238"/>
      <c r="F4" s="238"/>
      <c r="G4" s="236"/>
    </row>
    <row r="5" spans="1:7" ht="20.25" x14ac:dyDescent="0.25">
      <c r="A5" s="263" t="s">
        <v>72</v>
      </c>
      <c r="B5" s="236"/>
      <c r="C5" s="330"/>
      <c r="D5" s="238"/>
      <c r="E5" s="238"/>
      <c r="F5" s="238"/>
      <c r="G5" s="236"/>
    </row>
    <row r="6" spans="1:7" ht="20.25" x14ac:dyDescent="0.25">
      <c r="A6" s="263" t="s">
        <v>183</v>
      </c>
      <c r="B6" s="236"/>
      <c r="C6" s="263"/>
      <c r="D6" s="238"/>
      <c r="E6" s="238"/>
      <c r="F6" s="238"/>
      <c r="G6" s="236"/>
    </row>
    <row r="7" spans="1:7" ht="15" customHeight="1" x14ac:dyDescent="0.2">
      <c r="A7" s="248" t="s">
        <v>10</v>
      </c>
      <c r="B7" s="242"/>
      <c r="C7" s="253" t="s">
        <v>11</v>
      </c>
      <c r="D7" s="346" t="s">
        <v>206</v>
      </c>
      <c r="E7" s="242"/>
      <c r="F7" s="270" t="s">
        <v>13</v>
      </c>
      <c r="G7" s="342" t="s">
        <v>14</v>
      </c>
    </row>
    <row r="8" spans="1:7" x14ac:dyDescent="0.2">
      <c r="A8" s="243"/>
      <c r="B8" s="245"/>
      <c r="C8" s="255"/>
      <c r="D8" s="243"/>
      <c r="E8" s="245"/>
      <c r="F8" s="255"/>
      <c r="G8" s="255"/>
    </row>
    <row r="9" spans="1:7" ht="15" customHeight="1" x14ac:dyDescent="0.15">
      <c r="A9" s="375" t="s">
        <v>19</v>
      </c>
      <c r="B9" s="59" t="s">
        <v>20</v>
      </c>
      <c r="C9" s="38" t="s">
        <v>207</v>
      </c>
      <c r="D9" s="249">
        <f t="shared" ref="D9:D10" si="0">C3</f>
        <v>100</v>
      </c>
      <c r="E9" s="236"/>
      <c r="F9" s="11">
        <v>1</v>
      </c>
      <c r="G9" s="270">
        <v>90</v>
      </c>
    </row>
    <row r="10" spans="1:7" ht="15" customHeight="1" x14ac:dyDescent="0.15">
      <c r="A10" s="254"/>
      <c r="B10" s="38" t="s">
        <v>23</v>
      </c>
      <c r="C10" s="164" t="s">
        <v>207</v>
      </c>
      <c r="D10" s="249">
        <f t="shared" si="0"/>
        <v>100</v>
      </c>
      <c r="E10" s="236"/>
      <c r="F10" s="11">
        <v>1</v>
      </c>
      <c r="G10" s="254"/>
    </row>
    <row r="11" spans="1:7" ht="15" customHeight="1" x14ac:dyDescent="0.15">
      <c r="A11" s="254"/>
      <c r="B11" s="13" t="s">
        <v>26</v>
      </c>
      <c r="C11" s="165" t="s">
        <v>208</v>
      </c>
      <c r="D11" s="249">
        <f>C3-3.8</f>
        <v>96.2</v>
      </c>
      <c r="E11" s="236"/>
      <c r="F11" s="11">
        <v>2</v>
      </c>
      <c r="G11" s="254"/>
    </row>
    <row r="12" spans="1:7" ht="15" customHeight="1" x14ac:dyDescent="0.2">
      <c r="A12" s="255"/>
      <c r="B12" s="13" t="s">
        <v>209</v>
      </c>
      <c r="C12" s="77" t="s">
        <v>210</v>
      </c>
      <c r="D12" s="249">
        <f>C3-3.8</f>
        <v>96.2</v>
      </c>
      <c r="E12" s="236"/>
      <c r="F12" s="11">
        <v>1</v>
      </c>
      <c r="G12" s="255"/>
    </row>
    <row r="13" spans="1:7" ht="25.5" customHeight="1" x14ac:dyDescent="0.15">
      <c r="A13" s="256" t="s">
        <v>211</v>
      </c>
      <c r="B13" s="130" t="s">
        <v>159</v>
      </c>
      <c r="C13" s="128"/>
      <c r="D13" s="249">
        <v>3.4</v>
      </c>
      <c r="E13" s="236"/>
      <c r="F13" s="11">
        <v>8</v>
      </c>
      <c r="G13" s="59">
        <v>90</v>
      </c>
    </row>
    <row r="14" spans="1:7" ht="25.5" customHeight="1" x14ac:dyDescent="0.2">
      <c r="A14" s="254"/>
      <c r="B14" s="130" t="s">
        <v>212</v>
      </c>
      <c r="C14" s="128" t="s">
        <v>213</v>
      </c>
      <c r="D14" s="373">
        <f>D11-1.2</f>
        <v>95</v>
      </c>
      <c r="E14" s="236"/>
      <c r="F14" s="11">
        <v>2</v>
      </c>
      <c r="G14" s="374">
        <v>45</v>
      </c>
    </row>
    <row r="15" spans="1:7" ht="24.75" customHeight="1" x14ac:dyDescent="0.15">
      <c r="A15" s="255"/>
      <c r="B15" s="130" t="s">
        <v>214</v>
      </c>
      <c r="C15" s="11" t="s">
        <v>213</v>
      </c>
      <c r="D15" s="249">
        <f>(C4-12.4)/4</f>
        <v>21.9</v>
      </c>
      <c r="E15" s="236"/>
      <c r="F15" s="11">
        <v>2</v>
      </c>
      <c r="G15" s="255"/>
    </row>
    <row r="16" spans="1:7" ht="25.5" customHeight="1" x14ac:dyDescent="0.15">
      <c r="A16" s="256" t="s">
        <v>160</v>
      </c>
      <c r="B16" s="59" t="s">
        <v>215</v>
      </c>
      <c r="C16" s="344"/>
      <c r="D16" s="249">
        <f>D9-53.8</f>
        <v>46.2</v>
      </c>
      <c r="E16" s="236"/>
      <c r="F16" s="11">
        <v>2</v>
      </c>
      <c r="G16" s="59"/>
    </row>
    <row r="17" spans="1:7" ht="15" customHeight="1" x14ac:dyDescent="0.15">
      <c r="A17" s="254"/>
      <c r="B17" s="59" t="s">
        <v>216</v>
      </c>
      <c r="C17" s="254"/>
      <c r="D17" s="249">
        <f>D11+3</f>
        <v>99.2</v>
      </c>
      <c r="E17" s="236"/>
      <c r="F17" s="11">
        <v>2</v>
      </c>
      <c r="G17" s="59"/>
    </row>
    <row r="18" spans="1:7" x14ac:dyDescent="0.15">
      <c r="A18" s="254"/>
      <c r="B18" s="59" t="s">
        <v>217</v>
      </c>
      <c r="C18" s="254"/>
      <c r="D18" s="249">
        <f>D15-3.2</f>
        <v>18.7</v>
      </c>
      <c r="E18" s="236"/>
      <c r="F18" s="11">
        <v>2</v>
      </c>
      <c r="G18" s="59"/>
    </row>
    <row r="19" spans="1:7" ht="15" customHeight="1" x14ac:dyDescent="0.15">
      <c r="A19" s="255"/>
      <c r="B19" s="59" t="s">
        <v>218</v>
      </c>
      <c r="C19" s="254"/>
      <c r="D19" s="249">
        <f>D14</f>
        <v>95</v>
      </c>
      <c r="E19" s="236"/>
      <c r="F19" s="11">
        <v>2</v>
      </c>
      <c r="G19" s="59"/>
    </row>
    <row r="20" spans="1:7" x14ac:dyDescent="0.15">
      <c r="A20" s="360" t="s">
        <v>163</v>
      </c>
      <c r="B20" s="11"/>
      <c r="C20" s="11" t="s">
        <v>3</v>
      </c>
      <c r="D20" s="361" t="s">
        <v>6</v>
      </c>
      <c r="E20" s="236"/>
      <c r="F20" s="11"/>
      <c r="G20" s="11"/>
    </row>
    <row r="21" spans="1:7" ht="15.75" customHeight="1" x14ac:dyDescent="0.15">
      <c r="A21" s="254"/>
      <c r="B21" s="158" t="s">
        <v>219</v>
      </c>
      <c r="C21" s="161">
        <f>D16-0.8</f>
        <v>45.400000000000006</v>
      </c>
      <c r="D21" s="359">
        <f>D11-0.8</f>
        <v>95.4</v>
      </c>
      <c r="E21" s="236"/>
      <c r="F21" s="158">
        <v>1</v>
      </c>
      <c r="G21" s="270">
        <v>90</v>
      </c>
    </row>
    <row r="22" spans="1:7" ht="15.75" customHeight="1" x14ac:dyDescent="0.15">
      <c r="A22" s="255"/>
      <c r="B22" s="158" t="s">
        <v>211</v>
      </c>
      <c r="C22" s="162">
        <f>D18-8</f>
        <v>10.7</v>
      </c>
      <c r="D22" s="359">
        <f>D14-4</f>
        <v>91</v>
      </c>
      <c r="E22" s="236"/>
      <c r="F22" s="158">
        <v>1</v>
      </c>
      <c r="G22" s="255"/>
    </row>
    <row r="23" spans="1:7" ht="15.75" customHeight="1" x14ac:dyDescent="0.15">
      <c r="A23" s="135" t="s">
        <v>164</v>
      </c>
      <c r="B23" s="11" t="s">
        <v>165</v>
      </c>
      <c r="C23" s="59"/>
      <c r="D23" s="249"/>
      <c r="E23" s="236"/>
      <c r="F23" s="11">
        <f>(C21*4)+(D21*4)+(C22*4)+(D22*4)</f>
        <v>970</v>
      </c>
      <c r="G23" s="59" t="s">
        <v>43</v>
      </c>
    </row>
    <row r="24" spans="1:7" ht="15.75" customHeight="1" x14ac:dyDescent="0.15">
      <c r="A24" s="286" t="s">
        <v>48</v>
      </c>
      <c r="B24" s="11" t="s">
        <v>166</v>
      </c>
      <c r="C24" s="11" t="s">
        <v>167</v>
      </c>
      <c r="D24" s="246"/>
      <c r="E24" s="236"/>
      <c r="F24" s="11">
        <v>10</v>
      </c>
      <c r="G24" s="11"/>
    </row>
    <row r="25" spans="1:7" ht="15.75" customHeight="1" x14ac:dyDescent="0.15">
      <c r="A25" s="255"/>
      <c r="B25" s="11" t="s">
        <v>166</v>
      </c>
      <c r="C25" s="11" t="s">
        <v>168</v>
      </c>
      <c r="D25" s="246"/>
      <c r="E25" s="236"/>
      <c r="F25" s="11">
        <v>10</v>
      </c>
      <c r="G25" s="11"/>
    </row>
    <row r="26" spans="1:7" ht="15.75" customHeight="1" x14ac:dyDescent="0.15">
      <c r="A26" s="286" t="s">
        <v>169</v>
      </c>
      <c r="B26" s="11" t="s">
        <v>220</v>
      </c>
      <c r="C26" s="11" t="s">
        <v>221</v>
      </c>
      <c r="D26" s="246"/>
      <c r="E26" s="236"/>
      <c r="F26" s="11">
        <v>10</v>
      </c>
      <c r="G26" s="11"/>
    </row>
    <row r="27" spans="1:7" ht="15.75" customHeight="1" x14ac:dyDescent="0.15">
      <c r="A27" s="255"/>
      <c r="B27" s="11" t="s">
        <v>172</v>
      </c>
      <c r="C27" s="11" t="s">
        <v>173</v>
      </c>
      <c r="D27" s="246"/>
      <c r="E27" s="236"/>
      <c r="F27" s="11">
        <v>8</v>
      </c>
      <c r="G27" s="11"/>
    </row>
    <row r="28" spans="1:7" ht="15.75" customHeight="1" x14ac:dyDescent="0.2">
      <c r="A28" s="136" t="s">
        <v>222</v>
      </c>
      <c r="B28" s="11" t="s">
        <v>223</v>
      </c>
      <c r="C28" s="11"/>
      <c r="D28" s="246"/>
      <c r="E28" s="236"/>
      <c r="F28" s="11">
        <v>1</v>
      </c>
      <c r="G28" s="11"/>
    </row>
    <row r="29" spans="1:7" ht="15.75" customHeight="1" x14ac:dyDescent="0.2">
      <c r="A29" s="136" t="s">
        <v>224</v>
      </c>
      <c r="B29" s="11" t="s">
        <v>223</v>
      </c>
      <c r="C29" s="11" t="s">
        <v>225</v>
      </c>
      <c r="D29" s="246"/>
      <c r="E29" s="236"/>
      <c r="F29" s="11">
        <v>2</v>
      </c>
      <c r="G29" s="11"/>
    </row>
    <row r="30" spans="1:7" ht="15.75" customHeight="1" x14ac:dyDescent="0.2">
      <c r="A30" s="137" t="s">
        <v>56</v>
      </c>
      <c r="B30" s="348"/>
      <c r="C30" s="238"/>
      <c r="D30" s="238"/>
      <c r="E30" s="238"/>
      <c r="F30" s="238"/>
      <c r="G30" s="236"/>
    </row>
    <row r="31" spans="1:7" ht="15.75" customHeight="1" x14ac:dyDescent="0.2">
      <c r="A31" s="137" t="s">
        <v>57</v>
      </c>
      <c r="B31" s="348"/>
      <c r="C31" s="238"/>
      <c r="D31" s="238"/>
      <c r="E31" s="238"/>
      <c r="F31" s="238"/>
      <c r="G31" s="236"/>
    </row>
    <row r="32" spans="1:7" ht="15.75" customHeight="1" x14ac:dyDescent="0.2">
      <c r="A32" s="240" t="s">
        <v>58</v>
      </c>
      <c r="B32" s="241"/>
      <c r="C32" s="241"/>
      <c r="D32" s="241"/>
      <c r="E32" s="242"/>
      <c r="F32" s="239"/>
      <c r="G32" s="236"/>
    </row>
    <row r="33" spans="1:7" ht="15.75" customHeight="1" x14ac:dyDescent="0.2">
      <c r="A33" s="243"/>
      <c r="B33" s="244"/>
      <c r="C33" s="244"/>
      <c r="D33" s="244"/>
      <c r="E33" s="245"/>
      <c r="F33" s="239" t="s">
        <v>59</v>
      </c>
      <c r="G33" s="236"/>
    </row>
    <row r="34" spans="1:7" ht="15.75" customHeight="1" x14ac:dyDescent="0.2">
      <c r="A34" s="29"/>
      <c r="B34" s="30"/>
      <c r="C34" s="138"/>
      <c r="D34" s="138"/>
      <c r="E34" s="138"/>
      <c r="F34" s="138"/>
      <c r="G34" s="138"/>
    </row>
    <row r="35" spans="1:7" ht="15.75" customHeight="1" x14ac:dyDescent="0.2">
      <c r="D35" s="54"/>
    </row>
    <row r="36" spans="1:7" ht="15.75" customHeight="1" x14ac:dyDescent="0.2"/>
    <row r="37" spans="1:7" ht="15.75" customHeight="1" x14ac:dyDescent="0.2"/>
    <row r="38" spans="1:7" ht="15.75" customHeight="1" x14ac:dyDescent="0.3">
      <c r="E38" s="252">
        <f>C3</f>
        <v>100</v>
      </c>
      <c r="F38" s="251"/>
    </row>
    <row r="39" spans="1:7" ht="15.75" customHeight="1" x14ac:dyDescent="0.2"/>
    <row r="40" spans="1:7" ht="15.75" customHeight="1" x14ac:dyDescent="0.2">
      <c r="G40" s="54"/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3">
      <c r="B45" s="252">
        <f>C4</f>
        <v>100</v>
      </c>
      <c r="C45" s="251"/>
      <c r="D45" s="251"/>
      <c r="E45" s="251"/>
    </row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2">
    <mergeCell ref="A2:G2"/>
    <mergeCell ref="A5:B5"/>
    <mergeCell ref="A13:A15"/>
    <mergeCell ref="A16:A19"/>
    <mergeCell ref="D11:E11"/>
    <mergeCell ref="D12:E12"/>
    <mergeCell ref="G7:G8"/>
    <mergeCell ref="G14:G15"/>
    <mergeCell ref="G9:G12"/>
    <mergeCell ref="D9:E9"/>
    <mergeCell ref="D10:E10"/>
    <mergeCell ref="C7:C8"/>
    <mergeCell ref="A9:A12"/>
    <mergeCell ref="D13:E13"/>
    <mergeCell ref="A7:B8"/>
    <mergeCell ref="A6:B6"/>
    <mergeCell ref="A3:B3"/>
    <mergeCell ref="A4:B4"/>
    <mergeCell ref="F7:F8"/>
    <mergeCell ref="D4:G4"/>
    <mergeCell ref="D7:E8"/>
    <mergeCell ref="C5:G5"/>
    <mergeCell ref="C6:G6"/>
    <mergeCell ref="D3:G3"/>
    <mergeCell ref="B45:E45"/>
    <mergeCell ref="D24:E24"/>
    <mergeCell ref="A24:A25"/>
    <mergeCell ref="G21:G22"/>
    <mergeCell ref="D25:E25"/>
    <mergeCell ref="D22:E22"/>
    <mergeCell ref="D21:E21"/>
    <mergeCell ref="B31:G31"/>
    <mergeCell ref="F32:G32"/>
    <mergeCell ref="A32:E33"/>
    <mergeCell ref="F33:G33"/>
    <mergeCell ref="E38:F38"/>
    <mergeCell ref="D28:E28"/>
    <mergeCell ref="C16:C19"/>
    <mergeCell ref="D20:E20"/>
    <mergeCell ref="D29:E29"/>
    <mergeCell ref="B30:G30"/>
    <mergeCell ref="D14:E14"/>
    <mergeCell ref="D15:E15"/>
    <mergeCell ref="D23:E23"/>
    <mergeCell ref="D26:E26"/>
    <mergeCell ref="D27:E27"/>
    <mergeCell ref="A26:A27"/>
    <mergeCell ref="A20:A22"/>
    <mergeCell ref="D16:E16"/>
    <mergeCell ref="D19:E19"/>
    <mergeCell ref="D18:E18"/>
    <mergeCell ref="D17:E17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"/>
  <sheetViews>
    <sheetView workbookViewId="0"/>
  </sheetViews>
  <sheetFormatPr defaultColWidth="14.390625" defaultRowHeight="15" customHeight="1" x14ac:dyDescent="0.2"/>
  <cols>
    <col min="1" max="1" width="29.0546875" customWidth="1"/>
    <col min="2" max="2" width="20.4453125" customWidth="1"/>
    <col min="3" max="3" width="14.125" customWidth="1"/>
    <col min="4" max="4" width="7.26171875" customWidth="1"/>
    <col min="5" max="5" width="6.72265625" customWidth="1"/>
    <col min="6" max="6" width="6.3203125" customWidth="1"/>
    <col min="7" max="7" width="11.43359375" customWidth="1"/>
  </cols>
  <sheetData>
    <row r="1" spans="1:7" ht="23.25" x14ac:dyDescent="0.3">
      <c r="A1" s="119" t="s">
        <v>148</v>
      </c>
      <c r="B1" s="144"/>
      <c r="C1" s="144"/>
      <c r="D1" s="144"/>
      <c r="E1" s="144"/>
      <c r="F1" s="144"/>
      <c r="G1" s="144"/>
    </row>
    <row r="2" spans="1:7" ht="20.25" x14ac:dyDescent="0.25">
      <c r="A2" s="261" t="s">
        <v>226</v>
      </c>
      <c r="B2" s="238"/>
      <c r="C2" s="238"/>
      <c r="D2" s="238"/>
      <c r="E2" s="238"/>
      <c r="F2" s="238"/>
      <c r="G2" s="236"/>
    </row>
    <row r="3" spans="1:7" ht="20.25" x14ac:dyDescent="0.25">
      <c r="A3" s="263" t="s">
        <v>3</v>
      </c>
      <c r="B3" s="236"/>
      <c r="C3" s="154">
        <v>112</v>
      </c>
      <c r="D3" s="330" t="s">
        <v>4</v>
      </c>
      <c r="E3" s="238"/>
      <c r="F3" s="238"/>
      <c r="G3" s="236"/>
    </row>
    <row r="4" spans="1:7" ht="20.25" x14ac:dyDescent="0.25">
      <c r="A4" s="247" t="s">
        <v>6</v>
      </c>
      <c r="B4" s="236"/>
      <c r="C4" s="154">
        <v>170</v>
      </c>
      <c r="D4" s="330" t="s">
        <v>4</v>
      </c>
      <c r="E4" s="238"/>
      <c r="F4" s="238"/>
      <c r="G4" s="236"/>
    </row>
    <row r="5" spans="1:7" ht="20.25" x14ac:dyDescent="0.25">
      <c r="A5" s="263" t="s">
        <v>72</v>
      </c>
      <c r="B5" s="236"/>
      <c r="C5" s="330"/>
      <c r="D5" s="238"/>
      <c r="E5" s="238"/>
      <c r="F5" s="238"/>
      <c r="G5" s="236"/>
    </row>
    <row r="6" spans="1:7" ht="20.25" x14ac:dyDescent="0.25">
      <c r="A6" s="263" t="s">
        <v>183</v>
      </c>
      <c r="B6" s="236"/>
      <c r="C6" s="263"/>
      <c r="D6" s="238"/>
      <c r="E6" s="238"/>
      <c r="F6" s="238"/>
      <c r="G6" s="236"/>
    </row>
    <row r="7" spans="1:7" ht="15" customHeight="1" x14ac:dyDescent="0.2">
      <c r="A7" s="248" t="s">
        <v>10</v>
      </c>
      <c r="B7" s="242"/>
      <c r="C7" s="253" t="s">
        <v>11</v>
      </c>
      <c r="D7" s="346" t="s">
        <v>150</v>
      </c>
      <c r="E7" s="242"/>
      <c r="F7" s="270" t="s">
        <v>13</v>
      </c>
      <c r="G7" s="342" t="s">
        <v>14</v>
      </c>
    </row>
    <row r="8" spans="1:7" x14ac:dyDescent="0.2">
      <c r="A8" s="243"/>
      <c r="B8" s="245"/>
      <c r="C8" s="255"/>
      <c r="D8" s="243"/>
      <c r="E8" s="245"/>
      <c r="F8" s="255"/>
      <c r="G8" s="255"/>
    </row>
    <row r="9" spans="1:7" x14ac:dyDescent="0.15">
      <c r="A9" s="375" t="s">
        <v>19</v>
      </c>
      <c r="B9" s="59" t="s">
        <v>20</v>
      </c>
      <c r="C9" s="38" t="s">
        <v>207</v>
      </c>
      <c r="D9" s="249">
        <f t="shared" ref="D9:D10" si="0">C3</f>
        <v>112</v>
      </c>
      <c r="E9" s="236"/>
      <c r="F9" s="11">
        <v>1</v>
      </c>
      <c r="G9" s="270">
        <v>90</v>
      </c>
    </row>
    <row r="10" spans="1:7" x14ac:dyDescent="0.15">
      <c r="A10" s="254"/>
      <c r="B10" s="38" t="s">
        <v>23</v>
      </c>
      <c r="C10" s="164" t="s">
        <v>207</v>
      </c>
      <c r="D10" s="249">
        <f t="shared" si="0"/>
        <v>170</v>
      </c>
      <c r="E10" s="236"/>
      <c r="F10" s="11">
        <v>1</v>
      </c>
      <c r="G10" s="254"/>
    </row>
    <row r="11" spans="1:7" x14ac:dyDescent="0.15">
      <c r="A11" s="254"/>
      <c r="B11" s="13" t="s">
        <v>26</v>
      </c>
      <c r="C11" s="165" t="s">
        <v>208</v>
      </c>
      <c r="D11" s="249">
        <f>C3-3.8</f>
        <v>108.2</v>
      </c>
      <c r="E11" s="236"/>
      <c r="F11" s="11">
        <v>2</v>
      </c>
      <c r="G11" s="254"/>
    </row>
    <row r="12" spans="1:7" x14ac:dyDescent="0.2">
      <c r="A12" s="255"/>
      <c r="B12" s="13" t="s">
        <v>209</v>
      </c>
      <c r="C12" s="77" t="s">
        <v>210</v>
      </c>
      <c r="D12" s="249">
        <f>C3-3.8</f>
        <v>108.2</v>
      </c>
      <c r="E12" s="236"/>
      <c r="F12" s="11">
        <v>2</v>
      </c>
      <c r="G12" s="255"/>
    </row>
    <row r="13" spans="1:7" ht="24" x14ac:dyDescent="0.15">
      <c r="A13" s="256" t="s">
        <v>211</v>
      </c>
      <c r="B13" s="59" t="s">
        <v>159</v>
      </c>
      <c r="C13" s="128"/>
      <c r="D13" s="249">
        <v>3.4</v>
      </c>
      <c r="E13" s="236"/>
      <c r="F13" s="11">
        <v>12</v>
      </c>
      <c r="G13" s="270">
        <v>90</v>
      </c>
    </row>
    <row r="14" spans="1:7" x14ac:dyDescent="0.2">
      <c r="A14" s="254"/>
      <c r="B14" s="130" t="s">
        <v>212</v>
      </c>
      <c r="C14" s="128" t="s">
        <v>213</v>
      </c>
      <c r="D14" s="373">
        <f>D11-1.2</f>
        <v>107</v>
      </c>
      <c r="E14" s="236"/>
      <c r="F14" s="11">
        <v>4</v>
      </c>
      <c r="G14" s="254"/>
    </row>
    <row r="15" spans="1:7" ht="15" customHeight="1" x14ac:dyDescent="0.15">
      <c r="A15" s="255"/>
      <c r="B15" s="130" t="s">
        <v>214</v>
      </c>
      <c r="C15" s="11" t="s">
        <v>213</v>
      </c>
      <c r="D15" s="249">
        <f>(C4-12.4)/4</f>
        <v>39.4</v>
      </c>
      <c r="E15" s="236"/>
      <c r="F15" s="11">
        <v>4</v>
      </c>
      <c r="G15" s="255"/>
    </row>
    <row r="16" spans="1:7" x14ac:dyDescent="0.15">
      <c r="A16" s="256" t="s">
        <v>160</v>
      </c>
      <c r="B16" s="59" t="s">
        <v>215</v>
      </c>
      <c r="C16" s="344"/>
      <c r="D16" s="249">
        <f>(D9-7.6)/2</f>
        <v>52.2</v>
      </c>
      <c r="E16" s="236"/>
      <c r="F16" s="11">
        <v>2</v>
      </c>
      <c r="G16" s="59"/>
    </row>
    <row r="17" spans="1:7" x14ac:dyDescent="0.15">
      <c r="A17" s="254"/>
      <c r="B17" s="59" t="s">
        <v>227</v>
      </c>
      <c r="C17" s="254"/>
      <c r="D17" s="249">
        <f>D11+3</f>
        <v>111.2</v>
      </c>
      <c r="E17" s="236"/>
      <c r="F17" s="11">
        <v>2</v>
      </c>
      <c r="G17" s="59"/>
    </row>
    <row r="18" spans="1:7" x14ac:dyDescent="0.15">
      <c r="A18" s="254"/>
      <c r="B18" s="59" t="s">
        <v>217</v>
      </c>
      <c r="C18" s="254"/>
      <c r="D18" s="249">
        <f>D15-3.2</f>
        <v>36.199999999999996</v>
      </c>
      <c r="E18" s="236"/>
      <c r="F18" s="11">
        <v>4</v>
      </c>
      <c r="G18" s="59"/>
    </row>
    <row r="19" spans="1:7" x14ac:dyDescent="0.15">
      <c r="A19" s="255"/>
      <c r="B19" s="59" t="s">
        <v>228</v>
      </c>
      <c r="C19" s="254"/>
      <c r="D19" s="249">
        <f>D14</f>
        <v>107</v>
      </c>
      <c r="E19" s="236"/>
      <c r="F19" s="11">
        <v>4</v>
      </c>
      <c r="G19" s="59"/>
    </row>
    <row r="20" spans="1:7" x14ac:dyDescent="0.15">
      <c r="A20" s="360" t="s">
        <v>163</v>
      </c>
      <c r="B20" s="11"/>
      <c r="C20" s="11" t="s">
        <v>3</v>
      </c>
      <c r="D20" s="361" t="s">
        <v>6</v>
      </c>
      <c r="E20" s="236"/>
      <c r="F20" s="11"/>
      <c r="G20" s="11"/>
    </row>
    <row r="21" spans="1:7" ht="15.75" customHeight="1" x14ac:dyDescent="0.15">
      <c r="A21" s="254"/>
      <c r="B21" s="158" t="s">
        <v>219</v>
      </c>
      <c r="C21" s="161">
        <f>D16-0.8</f>
        <v>51.400000000000006</v>
      </c>
      <c r="D21" s="359">
        <f>D11-0.8</f>
        <v>107.4</v>
      </c>
      <c r="E21" s="236"/>
      <c r="F21" s="158">
        <v>1</v>
      </c>
      <c r="G21" s="270">
        <v>90</v>
      </c>
    </row>
    <row r="22" spans="1:7" ht="15.75" customHeight="1" x14ac:dyDescent="0.15">
      <c r="A22" s="255"/>
      <c r="B22" s="158" t="s">
        <v>211</v>
      </c>
      <c r="C22" s="162">
        <f>D18-8</f>
        <v>28.199999999999996</v>
      </c>
      <c r="D22" s="359">
        <f>D14-4</f>
        <v>103</v>
      </c>
      <c r="E22" s="236"/>
      <c r="F22" s="158">
        <v>2</v>
      </c>
      <c r="G22" s="255"/>
    </row>
    <row r="23" spans="1:7" ht="15.75" customHeight="1" x14ac:dyDescent="0.15">
      <c r="A23" s="135" t="s">
        <v>164</v>
      </c>
      <c r="B23" s="11" t="s">
        <v>165</v>
      </c>
      <c r="C23" s="59"/>
      <c r="D23" s="249"/>
      <c r="E23" s="236"/>
      <c r="F23" s="11">
        <f>(C21*4)+(D21*4)+(C22*8)+(D22*8)</f>
        <v>1684.8</v>
      </c>
      <c r="G23" s="59" t="s">
        <v>43</v>
      </c>
    </row>
    <row r="24" spans="1:7" ht="15.75" customHeight="1" x14ac:dyDescent="0.15">
      <c r="A24" s="286" t="s">
        <v>48</v>
      </c>
      <c r="B24" s="11" t="s">
        <v>166</v>
      </c>
      <c r="C24" s="11" t="s">
        <v>167</v>
      </c>
      <c r="D24" s="246"/>
      <c r="E24" s="236"/>
      <c r="F24" s="11">
        <v>10</v>
      </c>
      <c r="G24" s="11"/>
    </row>
    <row r="25" spans="1:7" ht="15.75" customHeight="1" x14ac:dyDescent="0.15">
      <c r="A25" s="255"/>
      <c r="B25" s="11" t="s">
        <v>166</v>
      </c>
      <c r="C25" s="11" t="s">
        <v>168</v>
      </c>
      <c r="D25" s="246"/>
      <c r="E25" s="236"/>
      <c r="F25" s="11">
        <v>10</v>
      </c>
      <c r="G25" s="11"/>
    </row>
    <row r="26" spans="1:7" ht="15.75" customHeight="1" x14ac:dyDescent="0.15">
      <c r="A26" s="286" t="s">
        <v>169</v>
      </c>
      <c r="B26" s="11" t="s">
        <v>220</v>
      </c>
      <c r="C26" s="11" t="s">
        <v>221</v>
      </c>
      <c r="D26" s="246"/>
      <c r="E26" s="236"/>
      <c r="F26" s="11">
        <v>10</v>
      </c>
      <c r="G26" s="11"/>
    </row>
    <row r="27" spans="1:7" ht="15.75" customHeight="1" x14ac:dyDescent="0.15">
      <c r="A27" s="255"/>
      <c r="B27" s="11" t="s">
        <v>172</v>
      </c>
      <c r="C27" s="11" t="s">
        <v>173</v>
      </c>
      <c r="D27" s="246"/>
      <c r="E27" s="236"/>
      <c r="F27" s="11">
        <v>8</v>
      </c>
      <c r="G27" s="11"/>
    </row>
    <row r="28" spans="1:7" ht="15.75" customHeight="1" x14ac:dyDescent="0.2">
      <c r="A28" s="136" t="s">
        <v>222</v>
      </c>
      <c r="B28" s="11" t="s">
        <v>223</v>
      </c>
      <c r="C28" s="11"/>
      <c r="D28" s="246"/>
      <c r="E28" s="236"/>
      <c r="F28" s="11">
        <v>1</v>
      </c>
      <c r="G28" s="11"/>
    </row>
    <row r="29" spans="1:7" ht="15.75" customHeight="1" x14ac:dyDescent="0.2">
      <c r="A29" s="136" t="s">
        <v>224</v>
      </c>
      <c r="B29" s="11" t="s">
        <v>223</v>
      </c>
      <c r="C29" s="11" t="s">
        <v>225</v>
      </c>
      <c r="D29" s="246"/>
      <c r="E29" s="236"/>
      <c r="F29" s="11">
        <v>2</v>
      </c>
      <c r="G29" s="11"/>
    </row>
    <row r="30" spans="1:7" ht="15.75" customHeight="1" x14ac:dyDescent="0.2">
      <c r="A30" s="137" t="s">
        <v>56</v>
      </c>
      <c r="B30" s="348"/>
      <c r="C30" s="238"/>
      <c r="D30" s="238"/>
      <c r="E30" s="238"/>
      <c r="F30" s="238"/>
      <c r="G30" s="236"/>
    </row>
    <row r="31" spans="1:7" ht="15.75" customHeight="1" x14ac:dyDescent="0.2">
      <c r="A31" s="137" t="s">
        <v>57</v>
      </c>
      <c r="B31" s="348"/>
      <c r="C31" s="238"/>
      <c r="D31" s="238"/>
      <c r="E31" s="238"/>
      <c r="F31" s="238"/>
      <c r="G31" s="236"/>
    </row>
    <row r="32" spans="1:7" ht="15.75" customHeight="1" x14ac:dyDescent="0.2">
      <c r="A32" s="240" t="s">
        <v>58</v>
      </c>
      <c r="B32" s="241"/>
      <c r="C32" s="241"/>
      <c r="D32" s="241"/>
      <c r="E32" s="242"/>
      <c r="F32" s="239"/>
      <c r="G32" s="236"/>
    </row>
    <row r="33" spans="1:7" ht="15.75" customHeight="1" x14ac:dyDescent="0.2">
      <c r="A33" s="243"/>
      <c r="B33" s="244"/>
      <c r="C33" s="244"/>
      <c r="D33" s="244"/>
      <c r="E33" s="245"/>
      <c r="F33" s="239" t="s">
        <v>59</v>
      </c>
      <c r="G33" s="236"/>
    </row>
    <row r="34" spans="1:7" ht="15.75" customHeight="1" x14ac:dyDescent="0.2">
      <c r="A34" s="29"/>
      <c r="B34" s="30"/>
      <c r="C34" s="138"/>
      <c r="D34" s="138"/>
      <c r="E34" s="138"/>
      <c r="F34" s="138"/>
      <c r="G34" s="138"/>
    </row>
    <row r="35" spans="1:7" ht="15.75" customHeight="1" x14ac:dyDescent="0.2">
      <c r="D35" s="54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3">
      <c r="G39" s="33">
        <f>C3</f>
        <v>112</v>
      </c>
    </row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>
      <c r="D45" s="54"/>
    </row>
    <row r="46" spans="1:7" ht="15.75" customHeight="1" x14ac:dyDescent="0.3">
      <c r="B46" s="252">
        <f>C4</f>
        <v>170</v>
      </c>
      <c r="C46" s="251"/>
      <c r="D46" s="251"/>
      <c r="E46" s="251"/>
      <c r="F46" s="251"/>
    </row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1">
    <mergeCell ref="B31:G31"/>
    <mergeCell ref="D29:E29"/>
    <mergeCell ref="B46:F46"/>
    <mergeCell ref="A32:E33"/>
    <mergeCell ref="F32:G32"/>
    <mergeCell ref="F33:G33"/>
    <mergeCell ref="G13:G15"/>
    <mergeCell ref="D28:E28"/>
    <mergeCell ref="A26:A27"/>
    <mergeCell ref="A24:A25"/>
    <mergeCell ref="B30:G30"/>
    <mergeCell ref="D19:E19"/>
    <mergeCell ref="A16:A19"/>
    <mergeCell ref="C7:C8"/>
    <mergeCell ref="A7:B8"/>
    <mergeCell ref="A9:A12"/>
    <mergeCell ref="D25:E25"/>
    <mergeCell ref="D26:E26"/>
    <mergeCell ref="D27:E27"/>
    <mergeCell ref="D22:E22"/>
    <mergeCell ref="G21:G22"/>
    <mergeCell ref="D21:E21"/>
    <mergeCell ref="D3:G3"/>
    <mergeCell ref="A2:G2"/>
    <mergeCell ref="A3:B3"/>
    <mergeCell ref="D23:E23"/>
    <mergeCell ref="D24:E24"/>
    <mergeCell ref="D16:E16"/>
    <mergeCell ref="D14:E14"/>
    <mergeCell ref="D15:E15"/>
    <mergeCell ref="A13:A15"/>
    <mergeCell ref="D13:E13"/>
    <mergeCell ref="D12:E12"/>
    <mergeCell ref="D17:E17"/>
    <mergeCell ref="D20:E20"/>
    <mergeCell ref="A20:A22"/>
    <mergeCell ref="D18:E18"/>
    <mergeCell ref="C16:C19"/>
    <mergeCell ref="D9:E9"/>
    <mergeCell ref="D4:G4"/>
    <mergeCell ref="D10:E10"/>
    <mergeCell ref="D11:E11"/>
    <mergeCell ref="A4:B4"/>
    <mergeCell ref="F7:F8"/>
    <mergeCell ref="G7:G8"/>
    <mergeCell ref="G9:G12"/>
    <mergeCell ref="C5:G5"/>
    <mergeCell ref="A5:B5"/>
    <mergeCell ref="C6:G6"/>
    <mergeCell ref="A6:B6"/>
    <mergeCell ref="D7:E8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"/>
  <sheetViews>
    <sheetView workbookViewId="0"/>
  </sheetViews>
  <sheetFormatPr defaultColWidth="14.390625" defaultRowHeight="15" customHeight="1" x14ac:dyDescent="0.2"/>
  <cols>
    <col min="1" max="1" width="16.94921875" customWidth="1"/>
    <col min="2" max="2" width="18.29296875" customWidth="1"/>
    <col min="3" max="3" width="10.22265625" customWidth="1"/>
    <col min="4" max="4" width="12.23828125" customWidth="1"/>
    <col min="5" max="5" width="7.53125" customWidth="1"/>
    <col min="6" max="6" width="6.3203125" customWidth="1"/>
    <col min="7" max="7" width="10.89453125" customWidth="1"/>
    <col min="8" max="8" width="10.22265625" customWidth="1"/>
  </cols>
  <sheetData>
    <row r="1" spans="1:8" ht="22.5" x14ac:dyDescent="0.25">
      <c r="A1" s="313" t="s">
        <v>0</v>
      </c>
      <c r="B1" s="314"/>
      <c r="C1" s="314"/>
      <c r="D1" s="314"/>
      <c r="E1" s="314"/>
      <c r="F1" s="314"/>
      <c r="G1" s="314"/>
      <c r="H1" s="315"/>
    </row>
    <row r="2" spans="1:8" ht="22.5" x14ac:dyDescent="0.25">
      <c r="A2" s="316" t="s">
        <v>229</v>
      </c>
      <c r="B2" s="238"/>
      <c r="C2" s="238"/>
      <c r="D2" s="238"/>
      <c r="E2" s="238"/>
      <c r="F2" s="238"/>
      <c r="G2" s="238"/>
      <c r="H2" s="236"/>
    </row>
    <row r="3" spans="1:8" ht="18" x14ac:dyDescent="0.2">
      <c r="A3" s="309" t="s">
        <v>3</v>
      </c>
      <c r="B3" s="238"/>
      <c r="C3" s="236"/>
      <c r="D3" s="166">
        <v>235.6</v>
      </c>
      <c r="E3" s="312" t="s">
        <v>112</v>
      </c>
      <c r="F3" s="238"/>
      <c r="G3" s="238"/>
      <c r="H3" s="236"/>
    </row>
    <row r="4" spans="1:8" ht="18" customHeight="1" x14ac:dyDescent="0.2">
      <c r="A4" s="310" t="s">
        <v>6</v>
      </c>
      <c r="B4" s="238"/>
      <c r="C4" s="236"/>
      <c r="D4" s="166">
        <v>428.7</v>
      </c>
      <c r="E4" s="312" t="s">
        <v>112</v>
      </c>
      <c r="F4" s="238"/>
      <c r="G4" s="238"/>
      <c r="H4" s="236"/>
    </row>
    <row r="5" spans="1:8" ht="20.25" x14ac:dyDescent="0.25">
      <c r="A5" s="308" t="s">
        <v>72</v>
      </c>
      <c r="B5" s="236"/>
      <c r="C5" s="307"/>
      <c r="D5" s="238"/>
      <c r="E5" s="238"/>
      <c r="F5" s="238"/>
      <c r="G5" s="238"/>
      <c r="H5" s="236"/>
    </row>
    <row r="6" spans="1:8" ht="20.25" x14ac:dyDescent="0.25">
      <c r="A6" s="308" t="s">
        <v>9</v>
      </c>
      <c r="B6" s="236"/>
      <c r="C6" s="307"/>
      <c r="D6" s="238"/>
      <c r="E6" s="238"/>
      <c r="F6" s="238"/>
      <c r="G6" s="238"/>
      <c r="H6" s="236"/>
    </row>
    <row r="7" spans="1:8" ht="26.25" x14ac:dyDescent="0.15">
      <c r="A7" s="310" t="s">
        <v>61</v>
      </c>
      <c r="B7" s="236"/>
      <c r="C7" s="92" t="s">
        <v>11</v>
      </c>
      <c r="D7" s="327" t="s">
        <v>12</v>
      </c>
      <c r="E7" s="238"/>
      <c r="F7" s="236"/>
      <c r="G7" s="93" t="s">
        <v>113</v>
      </c>
      <c r="H7" s="94" t="s">
        <v>84</v>
      </c>
    </row>
    <row r="8" spans="1:8" x14ac:dyDescent="0.15">
      <c r="A8" s="328" t="s">
        <v>19</v>
      </c>
      <c r="B8" s="95" t="s">
        <v>20</v>
      </c>
      <c r="C8" s="95" t="s">
        <v>230</v>
      </c>
      <c r="D8" s="326">
        <f>D4</f>
        <v>428.7</v>
      </c>
      <c r="E8" s="238"/>
      <c r="F8" s="236"/>
      <c r="G8" s="95">
        <v>1</v>
      </c>
      <c r="H8" s="95">
        <v>90</v>
      </c>
    </row>
    <row r="9" spans="1:8" x14ac:dyDescent="0.15">
      <c r="A9" s="304"/>
      <c r="B9" s="95" t="s">
        <v>23</v>
      </c>
      <c r="C9" s="95" t="s">
        <v>231</v>
      </c>
      <c r="D9" s="326">
        <f>D4</f>
        <v>428.7</v>
      </c>
      <c r="E9" s="238"/>
      <c r="F9" s="236"/>
      <c r="G9" s="95">
        <v>1</v>
      </c>
      <c r="H9" s="95">
        <v>90</v>
      </c>
    </row>
    <row r="10" spans="1:8" x14ac:dyDescent="0.15">
      <c r="A10" s="305"/>
      <c r="B10" s="95" t="s">
        <v>26</v>
      </c>
      <c r="C10" s="95" t="s">
        <v>232</v>
      </c>
      <c r="D10" s="326">
        <f>D3-1.2</f>
        <v>234.4</v>
      </c>
      <c r="E10" s="238"/>
      <c r="F10" s="236"/>
      <c r="G10" s="95">
        <v>2</v>
      </c>
      <c r="H10" s="95">
        <v>90</v>
      </c>
    </row>
    <row r="11" spans="1:8" x14ac:dyDescent="0.15">
      <c r="A11" s="325" t="s">
        <v>29</v>
      </c>
      <c r="B11" s="95" t="s">
        <v>92</v>
      </c>
      <c r="C11" s="95" t="s">
        <v>233</v>
      </c>
      <c r="D11" s="326">
        <f>D3-3.5</f>
        <v>232.1</v>
      </c>
      <c r="E11" s="238"/>
      <c r="F11" s="236"/>
      <c r="G11" s="95">
        <v>4</v>
      </c>
      <c r="H11" s="95">
        <v>90</v>
      </c>
    </row>
    <row r="12" spans="1:8" x14ac:dyDescent="0.15">
      <c r="A12" s="304"/>
      <c r="B12" s="95" t="s">
        <v>94</v>
      </c>
      <c r="C12" s="95" t="s">
        <v>234</v>
      </c>
      <c r="D12" s="326">
        <f>D3-3.5</f>
        <v>232.1</v>
      </c>
      <c r="E12" s="238"/>
      <c r="F12" s="236"/>
      <c r="G12" s="95">
        <v>4</v>
      </c>
      <c r="H12" s="95">
        <v>90</v>
      </c>
    </row>
    <row r="13" spans="1:8" x14ac:dyDescent="0.15">
      <c r="A13" s="304"/>
      <c r="B13" s="95" t="s">
        <v>36</v>
      </c>
      <c r="C13" s="95" t="s">
        <v>235</v>
      </c>
      <c r="D13" s="326">
        <f>(D4+6.3)/4</f>
        <v>108.75</v>
      </c>
      <c r="E13" s="238"/>
      <c r="F13" s="236"/>
      <c r="G13" s="95">
        <v>8</v>
      </c>
      <c r="H13" s="95">
        <v>90</v>
      </c>
    </row>
    <row r="14" spans="1:8" x14ac:dyDescent="0.15">
      <c r="A14" s="305"/>
      <c r="B14" s="95" t="s">
        <v>155</v>
      </c>
      <c r="C14" s="95" t="s">
        <v>236</v>
      </c>
      <c r="D14" s="326">
        <f>D11</f>
        <v>232.1</v>
      </c>
      <c r="E14" s="238"/>
      <c r="F14" s="236"/>
      <c r="G14" s="95">
        <v>1</v>
      </c>
      <c r="H14" s="95">
        <v>90</v>
      </c>
    </row>
    <row r="15" spans="1:8" ht="15" customHeight="1" x14ac:dyDescent="0.2">
      <c r="A15" s="380" t="s">
        <v>39</v>
      </c>
      <c r="B15" s="382" t="s">
        <v>237</v>
      </c>
      <c r="C15" s="381"/>
      <c r="D15" s="377" t="s">
        <v>3</v>
      </c>
      <c r="E15" s="376" t="s">
        <v>41</v>
      </c>
      <c r="F15" s="242"/>
      <c r="G15" s="378"/>
      <c r="H15" s="378"/>
    </row>
    <row r="16" spans="1:8" ht="15" customHeight="1" x14ac:dyDescent="0.2">
      <c r="A16" s="304"/>
      <c r="B16" s="254"/>
      <c r="C16" s="254"/>
      <c r="D16" s="255"/>
      <c r="E16" s="243"/>
      <c r="F16" s="245"/>
      <c r="G16" s="255"/>
      <c r="H16" s="255"/>
    </row>
    <row r="17" spans="1:8" x14ac:dyDescent="0.15">
      <c r="A17" s="305"/>
      <c r="B17" s="255"/>
      <c r="C17" s="255"/>
      <c r="D17" s="163">
        <f>D11-13.2</f>
        <v>218.9</v>
      </c>
      <c r="E17" s="359">
        <f>D13-11.5</f>
        <v>97.25</v>
      </c>
      <c r="F17" s="236"/>
      <c r="G17" s="158">
        <v>4</v>
      </c>
      <c r="H17" s="95"/>
    </row>
    <row r="18" spans="1:8" x14ac:dyDescent="0.15">
      <c r="A18" s="98" t="s">
        <v>42</v>
      </c>
      <c r="B18" s="95">
        <v>7038</v>
      </c>
      <c r="C18" s="95"/>
      <c r="D18" s="302"/>
      <c r="E18" s="238"/>
      <c r="F18" s="236"/>
      <c r="G18" s="95">
        <f>(D17*8)+(E17*8)</f>
        <v>2529.1999999999998</v>
      </c>
      <c r="H18" s="95" t="s">
        <v>43</v>
      </c>
    </row>
    <row r="19" spans="1:8" x14ac:dyDescent="0.15">
      <c r="A19" s="325" t="s">
        <v>44</v>
      </c>
      <c r="B19" s="95" t="s">
        <v>238</v>
      </c>
      <c r="C19" s="95"/>
      <c r="D19" s="317"/>
      <c r="E19" s="238"/>
      <c r="F19" s="236"/>
      <c r="G19" s="95">
        <v>36</v>
      </c>
      <c r="H19" s="95"/>
    </row>
    <row r="20" spans="1:8" x14ac:dyDescent="0.15">
      <c r="A20" s="304"/>
      <c r="B20" s="95" t="s">
        <v>238</v>
      </c>
      <c r="C20" s="95"/>
      <c r="D20" s="317"/>
      <c r="E20" s="238"/>
      <c r="F20" s="236"/>
      <c r="G20" s="95">
        <v>10</v>
      </c>
      <c r="H20" s="95"/>
    </row>
    <row r="21" spans="1:8" ht="15.75" customHeight="1" x14ac:dyDescent="0.15">
      <c r="A21" s="305"/>
      <c r="B21" s="95" t="s">
        <v>239</v>
      </c>
      <c r="C21" s="95"/>
      <c r="D21" s="317"/>
      <c r="E21" s="238"/>
      <c r="F21" s="236"/>
      <c r="G21" s="95">
        <v>12</v>
      </c>
      <c r="H21" s="95"/>
    </row>
    <row r="22" spans="1:8" ht="15.75" customHeight="1" x14ac:dyDescent="0.15">
      <c r="A22" s="98" t="s">
        <v>70</v>
      </c>
      <c r="B22" s="95" t="s">
        <v>106</v>
      </c>
      <c r="C22" s="95"/>
      <c r="D22" s="317"/>
      <c r="E22" s="238"/>
      <c r="F22" s="236"/>
      <c r="G22" s="95">
        <v>12</v>
      </c>
      <c r="H22" s="95"/>
    </row>
    <row r="23" spans="1:8" ht="15.75" customHeight="1" x14ac:dyDescent="0.15">
      <c r="A23" s="100" t="s">
        <v>80</v>
      </c>
      <c r="B23" s="95">
        <v>7038</v>
      </c>
      <c r="C23" s="95"/>
      <c r="D23" s="317"/>
      <c r="E23" s="238"/>
      <c r="F23" s="236"/>
      <c r="G23" s="95">
        <v>4</v>
      </c>
      <c r="H23" s="95"/>
    </row>
    <row r="24" spans="1:8" ht="15.75" customHeight="1" x14ac:dyDescent="0.15">
      <c r="A24" s="325" t="s">
        <v>53</v>
      </c>
      <c r="B24" s="95" t="s">
        <v>240</v>
      </c>
      <c r="C24" s="95"/>
      <c r="D24" s="317"/>
      <c r="E24" s="238"/>
      <c r="F24" s="236"/>
      <c r="G24" s="95">
        <v>4</v>
      </c>
      <c r="H24" s="95"/>
    </row>
    <row r="25" spans="1:8" ht="15.75" customHeight="1" x14ac:dyDescent="0.15">
      <c r="A25" s="305"/>
      <c r="B25" s="95" t="s">
        <v>241</v>
      </c>
      <c r="C25" s="95"/>
      <c r="D25" s="317"/>
      <c r="E25" s="238"/>
      <c r="F25" s="236"/>
      <c r="G25" s="95">
        <v>4</v>
      </c>
      <c r="H25" s="95"/>
    </row>
    <row r="26" spans="1:8" ht="15.75" customHeight="1" x14ac:dyDescent="0.15">
      <c r="A26" s="167" t="s">
        <v>222</v>
      </c>
      <c r="B26" s="95" t="s">
        <v>242</v>
      </c>
      <c r="C26" s="95"/>
      <c r="D26" s="317"/>
      <c r="E26" s="238"/>
      <c r="F26" s="236"/>
      <c r="G26" s="95">
        <v>2</v>
      </c>
      <c r="H26" s="95"/>
    </row>
    <row r="27" spans="1:8" ht="15.75" customHeight="1" x14ac:dyDescent="0.15">
      <c r="A27" s="98" t="s">
        <v>54</v>
      </c>
      <c r="B27" s="95" t="s">
        <v>243</v>
      </c>
      <c r="C27" s="95"/>
      <c r="D27" s="317"/>
      <c r="E27" s="238"/>
      <c r="F27" s="236"/>
      <c r="G27" s="95">
        <v>1</v>
      </c>
      <c r="H27" s="95"/>
    </row>
    <row r="28" spans="1:8" ht="15.75" customHeight="1" x14ac:dyDescent="0.2">
      <c r="A28" s="309" t="s">
        <v>56</v>
      </c>
      <c r="B28" s="236"/>
      <c r="C28" s="311"/>
      <c r="D28" s="238"/>
      <c r="E28" s="238"/>
      <c r="F28" s="238"/>
      <c r="G28" s="238"/>
      <c r="H28" s="236"/>
    </row>
    <row r="29" spans="1:8" ht="15.75" customHeight="1" x14ac:dyDescent="0.2">
      <c r="A29" s="309" t="s">
        <v>57</v>
      </c>
      <c r="B29" s="236"/>
      <c r="C29" s="311"/>
      <c r="D29" s="238"/>
      <c r="E29" s="238"/>
      <c r="F29" s="238"/>
      <c r="G29" s="238"/>
      <c r="H29" s="236"/>
    </row>
    <row r="30" spans="1:8" ht="18" customHeight="1" x14ac:dyDescent="0.2">
      <c r="A30" s="335" t="s">
        <v>58</v>
      </c>
      <c r="B30" s="241"/>
      <c r="C30" s="241"/>
      <c r="D30" s="241"/>
      <c r="E30" s="242"/>
      <c r="F30" s="379"/>
      <c r="G30" s="241"/>
      <c r="H30" s="242"/>
    </row>
    <row r="31" spans="1:8" ht="15" customHeight="1" x14ac:dyDescent="0.2">
      <c r="A31" s="251"/>
      <c r="B31" s="251"/>
      <c r="C31" s="251"/>
      <c r="D31" s="251"/>
      <c r="E31" s="272"/>
      <c r="F31" s="243"/>
      <c r="G31" s="244"/>
      <c r="H31" s="245"/>
    </row>
    <row r="32" spans="1:8" ht="15.75" customHeight="1" x14ac:dyDescent="0.2">
      <c r="A32" s="244"/>
      <c r="B32" s="244"/>
      <c r="C32" s="244"/>
      <c r="D32" s="244"/>
      <c r="E32" s="245"/>
      <c r="F32" s="311" t="s">
        <v>59</v>
      </c>
      <c r="G32" s="238"/>
      <c r="H32" s="236"/>
    </row>
    <row r="33" spans="1:8" ht="15.75" customHeight="1" x14ac:dyDescent="0.2">
      <c r="A33" s="53"/>
      <c r="B33" s="53"/>
      <c r="C33" s="319"/>
      <c r="D33" s="251"/>
      <c r="E33" s="251"/>
      <c r="F33" s="251"/>
      <c r="G33" s="251"/>
      <c r="H33" s="103"/>
    </row>
    <row r="34" spans="1:8" ht="15.75" customHeight="1" x14ac:dyDescent="0.25">
      <c r="A34" s="68"/>
      <c r="B34" s="54"/>
      <c r="C34" s="103"/>
      <c r="D34" s="2"/>
      <c r="E34" s="30"/>
      <c r="F34" s="30"/>
      <c r="G34" s="103"/>
      <c r="H34" s="114"/>
    </row>
    <row r="35" spans="1:8" ht="15.75" customHeight="1" x14ac:dyDescent="0.25">
      <c r="A35" s="68"/>
      <c r="B35" s="30"/>
      <c r="C35" s="30"/>
      <c r="D35" s="30"/>
      <c r="E35" s="30"/>
      <c r="F35" s="30"/>
      <c r="G35" s="103"/>
      <c r="H35" s="114"/>
    </row>
    <row r="36" spans="1:8" ht="15.75" customHeight="1" x14ac:dyDescent="0.25">
      <c r="A36" s="68"/>
      <c r="B36" s="30"/>
      <c r="C36" s="30"/>
      <c r="D36" s="30"/>
      <c r="E36" s="30"/>
      <c r="F36" s="30"/>
      <c r="G36" s="103"/>
      <c r="H36" s="114"/>
    </row>
    <row r="37" spans="1:8" ht="15.75" customHeight="1" x14ac:dyDescent="0.25">
      <c r="A37" s="68"/>
      <c r="B37" s="30"/>
      <c r="C37" s="30"/>
      <c r="D37" s="30"/>
      <c r="E37" s="30"/>
      <c r="F37" s="30"/>
      <c r="G37" s="112"/>
      <c r="H37" s="114"/>
    </row>
    <row r="38" spans="1:8" ht="15.75" customHeight="1" x14ac:dyDescent="0.25">
      <c r="A38" s="68"/>
      <c r="B38" s="30"/>
      <c r="C38" s="30"/>
      <c r="D38" s="30"/>
      <c r="E38" s="31"/>
      <c r="F38" s="30"/>
      <c r="G38" s="358">
        <f>D3</f>
        <v>235.6</v>
      </c>
      <c r="H38" s="251"/>
    </row>
    <row r="39" spans="1:8" ht="15.75" customHeight="1" x14ac:dyDescent="0.25">
      <c r="A39" s="68"/>
      <c r="B39" s="30"/>
      <c r="C39" s="284"/>
      <c r="D39" s="251"/>
      <c r="E39" s="251"/>
      <c r="F39" s="251"/>
      <c r="G39" s="251"/>
      <c r="H39" s="103"/>
    </row>
    <row r="40" spans="1:8" ht="15.75" customHeight="1" x14ac:dyDescent="0.25">
      <c r="A40" s="68"/>
      <c r="B40" s="30"/>
      <c r="C40" s="30"/>
      <c r="D40" s="30"/>
      <c r="E40" s="30"/>
      <c r="F40" s="30"/>
      <c r="G40" s="103"/>
      <c r="H40" s="103"/>
    </row>
    <row r="41" spans="1:8" ht="15.75" customHeight="1" x14ac:dyDescent="0.2"/>
    <row r="42" spans="1:8" ht="15.75" customHeight="1" x14ac:dyDescent="0.2">
      <c r="C42" s="54"/>
    </row>
    <row r="43" spans="1:8" ht="15.75" customHeight="1" x14ac:dyDescent="0.2"/>
    <row r="44" spans="1:8" ht="15.75" customHeight="1" x14ac:dyDescent="0.2"/>
    <row r="45" spans="1:8" ht="15.75" customHeight="1" x14ac:dyDescent="0.3">
      <c r="B45" s="252">
        <f>D4</f>
        <v>428.7</v>
      </c>
      <c r="C45" s="251"/>
      <c r="D45" s="251"/>
      <c r="E45" s="251"/>
      <c r="F45" s="251"/>
      <c r="G45" s="251"/>
    </row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2">
    <mergeCell ref="A24:A25"/>
    <mergeCell ref="A19:A21"/>
    <mergeCell ref="A15:A17"/>
    <mergeCell ref="A8:A10"/>
    <mergeCell ref="D13:F13"/>
    <mergeCell ref="D12:F12"/>
    <mergeCell ref="D11:F11"/>
    <mergeCell ref="D21:F21"/>
    <mergeCell ref="C15:C17"/>
    <mergeCell ref="B15:B17"/>
    <mergeCell ref="D10:F10"/>
    <mergeCell ref="D7:F7"/>
    <mergeCell ref="D8:F8"/>
    <mergeCell ref="D9:F9"/>
    <mergeCell ref="A11:A14"/>
    <mergeCell ref="A7:B7"/>
    <mergeCell ref="D20:F20"/>
    <mergeCell ref="D19:F19"/>
    <mergeCell ref="D24:F24"/>
    <mergeCell ref="D25:F25"/>
    <mergeCell ref="D22:F22"/>
    <mergeCell ref="D23:F23"/>
    <mergeCell ref="D15:D16"/>
    <mergeCell ref="G15:G16"/>
    <mergeCell ref="H15:H16"/>
    <mergeCell ref="E17:F17"/>
    <mergeCell ref="D18:F18"/>
    <mergeCell ref="D26:F26"/>
    <mergeCell ref="D27:F27"/>
    <mergeCell ref="A30:E32"/>
    <mergeCell ref="A28:B28"/>
    <mergeCell ref="A1:H1"/>
    <mergeCell ref="A2:H2"/>
    <mergeCell ref="A5:B5"/>
    <mergeCell ref="A6:B6"/>
    <mergeCell ref="E4:H4"/>
    <mergeCell ref="E3:H3"/>
    <mergeCell ref="C6:H6"/>
    <mergeCell ref="A4:C4"/>
    <mergeCell ref="A3:C3"/>
    <mergeCell ref="C5:H5"/>
    <mergeCell ref="D14:F14"/>
    <mergeCell ref="E15:F16"/>
    <mergeCell ref="C39:G39"/>
    <mergeCell ref="G38:H38"/>
    <mergeCell ref="B45:G45"/>
    <mergeCell ref="C28:H28"/>
    <mergeCell ref="C33:G33"/>
    <mergeCell ref="C29:H29"/>
    <mergeCell ref="A29:B29"/>
    <mergeCell ref="F32:H32"/>
    <mergeCell ref="F30:H31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390625" defaultRowHeight="15" customHeight="1" x14ac:dyDescent="0.2"/>
  <cols>
    <col min="1" max="1" width="14.390625" customWidth="1"/>
    <col min="2" max="2" width="18.0234375" customWidth="1"/>
    <col min="3" max="3" width="8.609375" customWidth="1"/>
    <col min="4" max="4" width="16.54296875" customWidth="1"/>
    <col min="5" max="5" width="8.609375" customWidth="1"/>
    <col min="6" max="6" width="4.5703125" customWidth="1"/>
    <col min="7" max="8" width="8.609375" customWidth="1"/>
  </cols>
  <sheetData>
    <row r="1" spans="1:8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</row>
    <row r="2" spans="1:8" ht="18" x14ac:dyDescent="0.2">
      <c r="A2" s="293" t="s">
        <v>244</v>
      </c>
      <c r="B2" s="238"/>
      <c r="C2" s="238"/>
      <c r="D2" s="238"/>
      <c r="E2" s="238"/>
      <c r="F2" s="238"/>
      <c r="G2" s="238"/>
      <c r="H2" s="236"/>
    </row>
    <row r="3" spans="1:8" ht="20.25" x14ac:dyDescent="0.25">
      <c r="A3" s="239" t="s">
        <v>3</v>
      </c>
      <c r="B3" s="238"/>
      <c r="C3" s="236"/>
      <c r="D3" s="386">
        <v>230</v>
      </c>
      <c r="E3" s="238"/>
      <c r="F3" s="263" t="s">
        <v>4</v>
      </c>
      <c r="G3" s="238"/>
      <c r="H3" s="236"/>
    </row>
    <row r="4" spans="1:8" ht="20.25" customHeight="1" x14ac:dyDescent="0.25">
      <c r="A4" s="278" t="s">
        <v>6</v>
      </c>
      <c r="B4" s="238"/>
      <c r="C4" s="236"/>
      <c r="D4" s="386">
        <v>210</v>
      </c>
      <c r="E4" s="238"/>
      <c r="F4" s="263" t="s">
        <v>4</v>
      </c>
      <c r="G4" s="238"/>
      <c r="H4" s="236"/>
    </row>
    <row r="5" spans="1:8" ht="20.25" x14ac:dyDescent="0.25">
      <c r="A5" s="263" t="s">
        <v>72</v>
      </c>
      <c r="B5" s="236"/>
      <c r="C5" s="263"/>
      <c r="D5" s="238"/>
      <c r="E5" s="238"/>
      <c r="F5" s="238"/>
      <c r="G5" s="238"/>
      <c r="H5" s="236"/>
    </row>
    <row r="6" spans="1:8" ht="20.25" x14ac:dyDescent="0.25">
      <c r="A6" s="263" t="s">
        <v>9</v>
      </c>
      <c r="B6" s="236"/>
      <c r="C6" s="263"/>
      <c r="D6" s="238"/>
      <c r="E6" s="238"/>
      <c r="F6" s="238"/>
      <c r="G6" s="238"/>
      <c r="H6" s="236"/>
    </row>
    <row r="7" spans="1:8" ht="23.25" x14ac:dyDescent="0.25">
      <c r="A7" s="278" t="s">
        <v>61</v>
      </c>
      <c r="B7" s="236"/>
      <c r="C7" s="71" t="s">
        <v>11</v>
      </c>
      <c r="D7" s="290" t="s">
        <v>12</v>
      </c>
      <c r="E7" s="238"/>
      <c r="F7" s="236"/>
      <c r="G7" s="72" t="s">
        <v>13</v>
      </c>
      <c r="H7" s="60" t="s">
        <v>84</v>
      </c>
    </row>
    <row r="8" spans="1:8" x14ac:dyDescent="0.15">
      <c r="A8" s="289" t="s">
        <v>19</v>
      </c>
      <c r="B8" s="11" t="s">
        <v>20</v>
      </c>
      <c r="C8" s="95" t="s">
        <v>230</v>
      </c>
      <c r="D8" s="249">
        <f>D4</f>
        <v>210</v>
      </c>
      <c r="E8" s="238"/>
      <c r="F8" s="236"/>
      <c r="G8" s="59">
        <v>1</v>
      </c>
      <c r="H8" s="11">
        <v>90</v>
      </c>
    </row>
    <row r="9" spans="1:8" x14ac:dyDescent="0.15">
      <c r="A9" s="254"/>
      <c r="B9" s="11" t="s">
        <v>23</v>
      </c>
      <c r="C9" s="95" t="s">
        <v>231</v>
      </c>
      <c r="D9" s="249">
        <f>D4</f>
        <v>210</v>
      </c>
      <c r="E9" s="238"/>
      <c r="F9" s="236"/>
      <c r="G9" s="11">
        <v>1</v>
      </c>
      <c r="H9" s="11">
        <v>90</v>
      </c>
    </row>
    <row r="10" spans="1:8" x14ac:dyDescent="0.15">
      <c r="A10" s="255"/>
      <c r="B10" s="11" t="s">
        <v>26</v>
      </c>
      <c r="C10" s="95" t="s">
        <v>232</v>
      </c>
      <c r="D10" s="249">
        <f>D3-1.5</f>
        <v>228.5</v>
      </c>
      <c r="E10" s="238"/>
      <c r="F10" s="236"/>
      <c r="G10" s="11">
        <v>2</v>
      </c>
      <c r="H10" s="11">
        <v>90</v>
      </c>
    </row>
    <row r="11" spans="1:8" x14ac:dyDescent="0.15">
      <c r="A11" s="287" t="s">
        <v>91</v>
      </c>
      <c r="B11" s="11" t="s">
        <v>92</v>
      </c>
      <c r="C11" s="95" t="s">
        <v>233</v>
      </c>
      <c r="D11" s="249">
        <f>D3-3.5</f>
        <v>226.5</v>
      </c>
      <c r="E11" s="238"/>
      <c r="F11" s="236"/>
      <c r="G11" s="11">
        <v>2</v>
      </c>
      <c r="H11" s="11">
        <v>90</v>
      </c>
    </row>
    <row r="12" spans="1:8" x14ac:dyDescent="0.15">
      <c r="A12" s="254"/>
      <c r="B12" s="11" t="s">
        <v>94</v>
      </c>
      <c r="C12" s="95" t="s">
        <v>234</v>
      </c>
      <c r="D12" s="249">
        <f>D3-3.5</f>
        <v>226.5</v>
      </c>
      <c r="E12" s="238"/>
      <c r="F12" s="236"/>
      <c r="G12" s="11">
        <v>2</v>
      </c>
      <c r="H12" s="11">
        <v>90</v>
      </c>
    </row>
    <row r="13" spans="1:8" x14ac:dyDescent="0.15">
      <c r="A13" s="254"/>
      <c r="B13" s="11" t="s">
        <v>245</v>
      </c>
      <c r="C13" s="95" t="s">
        <v>235</v>
      </c>
      <c r="D13" s="249">
        <f>(D4+0.7)/2</f>
        <v>105.35</v>
      </c>
      <c r="E13" s="238"/>
      <c r="F13" s="236"/>
      <c r="G13" s="11">
        <v>4</v>
      </c>
      <c r="H13" s="11">
        <v>90</v>
      </c>
    </row>
    <row r="14" spans="1:8" ht="15" customHeight="1" x14ac:dyDescent="0.2">
      <c r="A14" s="383" t="s">
        <v>39</v>
      </c>
      <c r="B14" s="383" t="s">
        <v>141</v>
      </c>
      <c r="C14" s="276"/>
      <c r="D14" s="384" t="s">
        <v>3</v>
      </c>
      <c r="E14" s="385" t="s">
        <v>41</v>
      </c>
      <c r="F14" s="242"/>
      <c r="G14" s="344"/>
      <c r="H14" s="344"/>
    </row>
    <row r="15" spans="1:8" ht="15" customHeight="1" x14ac:dyDescent="0.2">
      <c r="A15" s="254"/>
      <c r="B15" s="254"/>
      <c r="C15" s="254"/>
      <c r="D15" s="255"/>
      <c r="E15" s="243"/>
      <c r="F15" s="245"/>
      <c r="G15" s="255"/>
      <c r="H15" s="254"/>
    </row>
    <row r="16" spans="1:8" x14ac:dyDescent="0.15">
      <c r="A16" s="255"/>
      <c r="B16" s="255"/>
      <c r="C16" s="255"/>
      <c r="D16" s="163">
        <f>D11-13.2</f>
        <v>213.3</v>
      </c>
      <c r="E16" s="359">
        <f>D13-11.5</f>
        <v>93.85</v>
      </c>
      <c r="F16" s="236"/>
      <c r="G16" s="158">
        <v>2</v>
      </c>
      <c r="H16" s="255"/>
    </row>
    <row r="17" spans="1:8" x14ac:dyDescent="0.15">
      <c r="A17" s="76" t="s">
        <v>42</v>
      </c>
      <c r="B17" s="11">
        <v>7038</v>
      </c>
      <c r="C17" s="11"/>
      <c r="D17" s="249"/>
      <c r="E17" s="238"/>
      <c r="F17" s="236"/>
      <c r="G17" s="11">
        <f>(D16*4)+(E16*4)</f>
        <v>1228.5999999999999</v>
      </c>
      <c r="H17" s="11" t="s">
        <v>43</v>
      </c>
    </row>
    <row r="18" spans="1:8" x14ac:dyDescent="0.15">
      <c r="A18" s="300" t="s">
        <v>44</v>
      </c>
      <c r="B18" s="11" t="s">
        <v>246</v>
      </c>
      <c r="C18" s="11"/>
      <c r="D18" s="246"/>
      <c r="E18" s="238"/>
      <c r="F18" s="236"/>
      <c r="G18" s="11">
        <v>20</v>
      </c>
      <c r="H18" s="11"/>
    </row>
    <row r="19" spans="1:8" x14ac:dyDescent="0.15">
      <c r="A19" s="254"/>
      <c r="B19" s="11" t="s">
        <v>246</v>
      </c>
      <c r="C19" s="11"/>
      <c r="D19" s="246"/>
      <c r="E19" s="238"/>
      <c r="F19" s="236"/>
      <c r="G19" s="11">
        <v>6</v>
      </c>
      <c r="H19" s="11"/>
    </row>
    <row r="20" spans="1:8" x14ac:dyDescent="0.15">
      <c r="A20" s="255"/>
      <c r="B20" s="11" t="s">
        <v>247</v>
      </c>
      <c r="C20" s="11"/>
      <c r="D20" s="246"/>
      <c r="E20" s="238"/>
      <c r="F20" s="236"/>
      <c r="G20" s="11">
        <v>10</v>
      </c>
      <c r="H20" s="11"/>
    </row>
    <row r="21" spans="1:8" ht="15.75" customHeight="1" x14ac:dyDescent="0.15">
      <c r="A21" s="76" t="s">
        <v>70</v>
      </c>
      <c r="B21" s="24" t="s">
        <v>204</v>
      </c>
      <c r="C21" s="11"/>
      <c r="D21" s="246"/>
      <c r="E21" s="238"/>
      <c r="F21" s="236"/>
      <c r="G21" s="11">
        <v>10</v>
      </c>
      <c r="H21" s="11"/>
    </row>
    <row r="22" spans="1:8" ht="15.75" customHeight="1" x14ac:dyDescent="0.15">
      <c r="A22" s="78" t="s">
        <v>50</v>
      </c>
      <c r="B22" s="11">
        <v>7038</v>
      </c>
      <c r="C22" s="11"/>
      <c r="D22" s="246"/>
      <c r="E22" s="238"/>
      <c r="F22" s="236"/>
      <c r="G22" s="11">
        <v>2</v>
      </c>
      <c r="H22" s="11"/>
    </row>
    <row r="23" spans="1:8" ht="15.75" customHeight="1" x14ac:dyDescent="0.15">
      <c r="A23" s="300" t="s">
        <v>53</v>
      </c>
      <c r="B23" s="11" t="s">
        <v>240</v>
      </c>
      <c r="C23" s="11"/>
      <c r="D23" s="246"/>
      <c r="E23" s="238"/>
      <c r="F23" s="236"/>
      <c r="G23" s="11">
        <v>4</v>
      </c>
      <c r="H23" s="11"/>
    </row>
    <row r="24" spans="1:8" ht="15.75" customHeight="1" x14ac:dyDescent="0.15">
      <c r="A24" s="255"/>
      <c r="B24" s="11" t="s">
        <v>241</v>
      </c>
      <c r="C24" s="11"/>
      <c r="D24" s="246"/>
      <c r="E24" s="238"/>
      <c r="F24" s="236"/>
      <c r="G24" s="11">
        <v>4</v>
      </c>
      <c r="H24" s="11"/>
    </row>
    <row r="25" spans="1:8" ht="15.75" customHeight="1" x14ac:dyDescent="0.15">
      <c r="A25" s="72" t="s">
        <v>222</v>
      </c>
      <c r="B25" s="11" t="s">
        <v>242</v>
      </c>
      <c r="C25" s="11"/>
      <c r="D25" s="246"/>
      <c r="E25" s="238"/>
      <c r="F25" s="236"/>
      <c r="G25" s="11">
        <v>1</v>
      </c>
      <c r="H25" s="11"/>
    </row>
    <row r="26" spans="1:8" ht="15.75" customHeight="1" x14ac:dyDescent="0.15">
      <c r="A26" s="76" t="s">
        <v>54</v>
      </c>
      <c r="B26" s="11" t="s">
        <v>248</v>
      </c>
      <c r="C26" s="11"/>
      <c r="D26" s="246"/>
      <c r="E26" s="238"/>
      <c r="F26" s="236"/>
      <c r="G26" s="11">
        <v>1</v>
      </c>
      <c r="H26" s="11"/>
    </row>
    <row r="27" spans="1:8" ht="15.75" customHeight="1" x14ac:dyDescent="0.2">
      <c r="A27" s="239" t="s">
        <v>56</v>
      </c>
      <c r="B27" s="236"/>
      <c r="C27" s="239"/>
      <c r="D27" s="238"/>
      <c r="E27" s="238"/>
      <c r="F27" s="238"/>
      <c r="G27" s="238"/>
      <c r="H27" s="236"/>
    </row>
    <row r="28" spans="1:8" ht="15.75" customHeight="1" x14ac:dyDescent="0.2">
      <c r="A28" s="239" t="s">
        <v>57</v>
      </c>
      <c r="B28" s="236"/>
      <c r="C28" s="239"/>
      <c r="D28" s="238"/>
      <c r="E28" s="238"/>
      <c r="F28" s="238"/>
      <c r="G28" s="238"/>
      <c r="H28" s="236"/>
    </row>
    <row r="29" spans="1:8" ht="18" customHeight="1" x14ac:dyDescent="0.2">
      <c r="A29" s="240" t="s">
        <v>58</v>
      </c>
      <c r="B29" s="241"/>
      <c r="C29" s="241"/>
      <c r="D29" s="241"/>
      <c r="E29" s="242"/>
      <c r="F29" s="240"/>
      <c r="G29" s="241"/>
      <c r="H29" s="242"/>
    </row>
    <row r="30" spans="1:8" ht="15" customHeight="1" x14ac:dyDescent="0.2">
      <c r="A30" s="355"/>
      <c r="B30" s="251"/>
      <c r="C30" s="251"/>
      <c r="D30" s="251"/>
      <c r="E30" s="272"/>
      <c r="F30" s="243"/>
      <c r="G30" s="244"/>
      <c r="H30" s="245"/>
    </row>
    <row r="31" spans="1:8" ht="15.75" customHeight="1" x14ac:dyDescent="0.2">
      <c r="A31" s="243"/>
      <c r="B31" s="244"/>
      <c r="C31" s="244"/>
      <c r="D31" s="244"/>
      <c r="E31" s="245"/>
      <c r="F31" s="239" t="s">
        <v>59</v>
      </c>
      <c r="G31" s="238"/>
      <c r="H31" s="236"/>
    </row>
    <row r="32" spans="1:8" ht="15.75" customHeight="1" x14ac:dyDescent="0.25">
      <c r="A32" s="79"/>
      <c r="B32" s="69"/>
      <c r="C32" s="69"/>
      <c r="D32" s="69"/>
      <c r="E32" s="69"/>
      <c r="F32" s="69"/>
      <c r="G32" s="69"/>
      <c r="H32" s="80"/>
    </row>
    <row r="33" spans="1:8" ht="15.75" customHeight="1" x14ac:dyDescent="0.25">
      <c r="A33" s="79"/>
      <c r="B33" s="69"/>
      <c r="C33" s="81"/>
      <c r="D33" s="69"/>
      <c r="E33" s="69"/>
      <c r="F33" s="69"/>
      <c r="G33" s="69"/>
      <c r="H33" s="80"/>
    </row>
    <row r="34" spans="1:8" ht="15.75" customHeight="1" x14ac:dyDescent="0.25">
      <c r="A34" s="79"/>
      <c r="B34" s="69"/>
      <c r="C34" s="69"/>
      <c r="D34" s="69"/>
      <c r="E34" s="69"/>
      <c r="F34" s="69"/>
      <c r="G34" s="82"/>
      <c r="H34" s="80"/>
    </row>
    <row r="35" spans="1:8" ht="15.75" customHeight="1" x14ac:dyDescent="0.25">
      <c r="A35" s="79"/>
      <c r="B35" s="69"/>
      <c r="C35" s="69"/>
      <c r="D35" s="69"/>
      <c r="E35" s="69"/>
      <c r="F35" s="69"/>
      <c r="G35" s="83"/>
      <c r="H35" s="80"/>
    </row>
    <row r="36" spans="1:8" ht="15.75" customHeight="1" x14ac:dyDescent="0.25">
      <c r="A36" s="79"/>
      <c r="B36" s="69"/>
      <c r="C36" s="69"/>
      <c r="D36" s="69"/>
      <c r="E36" s="297">
        <f>D3</f>
        <v>230</v>
      </c>
      <c r="F36" s="251"/>
      <c r="G36" s="251"/>
      <c r="H36" s="80"/>
    </row>
    <row r="37" spans="1:8" ht="15.75" customHeight="1" x14ac:dyDescent="0.25">
      <c r="A37" s="79"/>
      <c r="B37" s="69"/>
      <c r="C37" s="69"/>
      <c r="D37" s="69"/>
      <c r="E37" s="69"/>
      <c r="F37" s="69"/>
      <c r="G37" s="83"/>
      <c r="H37" s="80"/>
    </row>
    <row r="38" spans="1:8" ht="15.75" customHeight="1" x14ac:dyDescent="0.25">
      <c r="A38" s="79"/>
      <c r="B38" s="69"/>
      <c r="C38" s="69"/>
      <c r="D38" s="69"/>
      <c r="E38" s="69"/>
      <c r="F38" s="69"/>
      <c r="G38" s="83"/>
      <c r="H38" s="80"/>
    </row>
    <row r="39" spans="1:8" ht="15.75" customHeight="1" x14ac:dyDescent="0.25">
      <c r="A39" s="79"/>
      <c r="B39" s="69"/>
      <c r="C39" s="69"/>
      <c r="D39" s="69"/>
      <c r="E39" s="69"/>
      <c r="F39" s="69"/>
      <c r="G39" s="83"/>
      <c r="H39" s="80"/>
    </row>
    <row r="40" spans="1:8" ht="15.75" customHeight="1" x14ac:dyDescent="0.25">
      <c r="A40" s="79"/>
      <c r="B40" s="69"/>
      <c r="C40" s="69"/>
      <c r="D40" s="69"/>
      <c r="E40" s="69"/>
      <c r="F40" s="69"/>
      <c r="G40" s="83"/>
      <c r="H40" s="80"/>
    </row>
    <row r="41" spans="1:8" ht="15.75" customHeight="1" x14ac:dyDescent="0.25">
      <c r="A41" s="79"/>
      <c r="B41" s="69"/>
      <c r="C41" s="297">
        <f>D4</f>
        <v>210</v>
      </c>
      <c r="D41" s="251"/>
      <c r="E41" s="251"/>
      <c r="F41" s="69"/>
      <c r="G41" s="83"/>
      <c r="H41" s="80"/>
    </row>
    <row r="42" spans="1:8" ht="15.75" customHeight="1" x14ac:dyDescent="0.25">
      <c r="A42" s="79"/>
      <c r="B42" s="69"/>
      <c r="C42" s="81"/>
      <c r="D42" s="69"/>
      <c r="E42" s="69"/>
      <c r="F42" s="69"/>
      <c r="G42" s="69"/>
      <c r="H42" s="80"/>
    </row>
    <row r="43" spans="1:8" ht="15.75" customHeight="1" x14ac:dyDescent="0.25">
      <c r="A43" s="79"/>
      <c r="C43" s="69"/>
      <c r="D43" s="69"/>
      <c r="E43" s="69"/>
      <c r="F43" s="69"/>
      <c r="G43" s="69"/>
      <c r="H43" s="80"/>
    </row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1">
    <mergeCell ref="C41:E41"/>
    <mergeCell ref="E36:G36"/>
    <mergeCell ref="D25:F25"/>
    <mergeCell ref="A27:B27"/>
    <mergeCell ref="C27:H27"/>
    <mergeCell ref="F29:H30"/>
    <mergeCell ref="A29:E31"/>
    <mergeCell ref="F31:H31"/>
    <mergeCell ref="A11:A13"/>
    <mergeCell ref="A8:A10"/>
    <mergeCell ref="D22:F22"/>
    <mergeCell ref="D24:F24"/>
    <mergeCell ref="D23:F23"/>
    <mergeCell ref="A1:H1"/>
    <mergeCell ref="A2:H2"/>
    <mergeCell ref="C6:H6"/>
    <mergeCell ref="A5:B5"/>
    <mergeCell ref="C5:H5"/>
    <mergeCell ref="D4:E4"/>
    <mergeCell ref="A4:C4"/>
    <mergeCell ref="F3:H3"/>
    <mergeCell ref="F4:H4"/>
    <mergeCell ref="D3:E3"/>
    <mergeCell ref="A3:C3"/>
    <mergeCell ref="H14:H16"/>
    <mergeCell ref="G14:G15"/>
    <mergeCell ref="A28:B28"/>
    <mergeCell ref="D21:F21"/>
    <mergeCell ref="A23:A24"/>
    <mergeCell ref="D26:F26"/>
    <mergeCell ref="C28:H28"/>
    <mergeCell ref="D20:F20"/>
    <mergeCell ref="D18:F18"/>
    <mergeCell ref="D17:F17"/>
    <mergeCell ref="D19:F19"/>
    <mergeCell ref="A6:B6"/>
    <mergeCell ref="A7:B7"/>
    <mergeCell ref="C14:C16"/>
    <mergeCell ref="A18:A20"/>
    <mergeCell ref="A14:A16"/>
    <mergeCell ref="B14:B16"/>
    <mergeCell ref="D7:F7"/>
    <mergeCell ref="D14:D15"/>
    <mergeCell ref="E14:F15"/>
    <mergeCell ref="E16:F16"/>
    <mergeCell ref="D12:F12"/>
    <mergeCell ref="D13:F13"/>
    <mergeCell ref="D8:F8"/>
    <mergeCell ref="D11:F11"/>
    <mergeCell ref="D10:F10"/>
    <mergeCell ref="D9:F9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"/>
  <sheetViews>
    <sheetView workbookViewId="0"/>
  </sheetViews>
  <sheetFormatPr defaultColWidth="14.390625" defaultRowHeight="15" customHeight="1" x14ac:dyDescent="0.2"/>
  <cols>
    <col min="1" max="1" width="21.1171875" customWidth="1"/>
    <col min="2" max="2" width="18.4296875" customWidth="1"/>
    <col min="3" max="3" width="11.02734375" customWidth="1"/>
    <col min="4" max="4" width="8.47265625" customWidth="1"/>
    <col min="5" max="5" width="8.7421875" customWidth="1"/>
    <col min="6" max="6" width="7.12890625" customWidth="1"/>
    <col min="7" max="7" width="11.02734375" customWidth="1"/>
  </cols>
  <sheetData>
    <row r="1" spans="1:7" ht="20.25" x14ac:dyDescent="0.25">
      <c r="A1" s="395" t="s">
        <v>0</v>
      </c>
      <c r="B1" s="314"/>
      <c r="C1" s="314"/>
      <c r="D1" s="314"/>
      <c r="E1" s="314"/>
      <c r="F1" s="314"/>
      <c r="G1" s="315"/>
    </row>
    <row r="2" spans="1:7" ht="20.25" x14ac:dyDescent="0.25">
      <c r="A2" s="394" t="s">
        <v>249</v>
      </c>
      <c r="B2" s="314"/>
      <c r="C2" s="314"/>
      <c r="D2" s="314"/>
      <c r="E2" s="314"/>
      <c r="F2" s="314"/>
      <c r="G2" s="315"/>
    </row>
    <row r="3" spans="1:7" ht="20.25" x14ac:dyDescent="0.25">
      <c r="A3" s="168" t="s">
        <v>3</v>
      </c>
      <c r="B3" s="154">
        <v>180</v>
      </c>
      <c r="C3" s="330" t="s">
        <v>4</v>
      </c>
      <c r="D3" s="238"/>
      <c r="E3" s="238"/>
      <c r="F3" s="238"/>
      <c r="G3" s="238"/>
    </row>
    <row r="4" spans="1:7" ht="20.25" x14ac:dyDescent="0.25">
      <c r="A4" s="168" t="s">
        <v>6</v>
      </c>
      <c r="B4" s="154">
        <v>114</v>
      </c>
      <c r="C4" s="169" t="s">
        <v>4</v>
      </c>
      <c r="D4" s="170"/>
      <c r="E4" s="170"/>
      <c r="F4" s="170"/>
      <c r="G4" s="170"/>
    </row>
    <row r="5" spans="1:7" ht="20.25" x14ac:dyDescent="0.25">
      <c r="A5" s="389" t="s">
        <v>72</v>
      </c>
      <c r="B5" s="236"/>
      <c r="C5" s="263"/>
      <c r="D5" s="238"/>
      <c r="E5" s="238"/>
      <c r="F5" s="238"/>
      <c r="G5" s="236"/>
    </row>
    <row r="6" spans="1:7" ht="20.25" x14ac:dyDescent="0.25">
      <c r="A6" s="389" t="s">
        <v>183</v>
      </c>
      <c r="B6" s="236"/>
      <c r="C6" s="263"/>
      <c r="D6" s="238"/>
      <c r="E6" s="238"/>
      <c r="F6" s="238"/>
      <c r="G6" s="236"/>
    </row>
    <row r="7" spans="1:7" ht="15" customHeight="1" x14ac:dyDescent="0.2">
      <c r="A7" s="391" t="s">
        <v>10</v>
      </c>
      <c r="B7" s="242"/>
      <c r="C7" s="253" t="s">
        <v>11</v>
      </c>
      <c r="D7" s="346" t="s">
        <v>12</v>
      </c>
      <c r="E7" s="242"/>
      <c r="F7" s="270" t="s">
        <v>13</v>
      </c>
      <c r="G7" s="270" t="s">
        <v>14</v>
      </c>
    </row>
    <row r="8" spans="1:7" x14ac:dyDescent="0.2">
      <c r="A8" s="392"/>
      <c r="B8" s="245"/>
      <c r="C8" s="255"/>
      <c r="D8" s="243"/>
      <c r="E8" s="245"/>
      <c r="F8" s="255"/>
      <c r="G8" s="255"/>
    </row>
    <row r="9" spans="1:7" ht="18" x14ac:dyDescent="0.2">
      <c r="A9" s="390" t="s">
        <v>19</v>
      </c>
      <c r="B9" s="136" t="s">
        <v>20</v>
      </c>
      <c r="C9" s="11" t="s">
        <v>250</v>
      </c>
      <c r="D9" s="249">
        <f>B4</f>
        <v>114</v>
      </c>
      <c r="E9" s="236"/>
      <c r="F9" s="11">
        <v>1</v>
      </c>
      <c r="G9" s="270">
        <v>90</v>
      </c>
    </row>
    <row r="10" spans="1:7" ht="18" x14ac:dyDescent="0.2">
      <c r="A10" s="304"/>
      <c r="B10" s="136" t="s">
        <v>23</v>
      </c>
      <c r="C10" s="11" t="s">
        <v>251</v>
      </c>
      <c r="D10" s="249">
        <f>B4-1</f>
        <v>113</v>
      </c>
      <c r="E10" s="236"/>
      <c r="F10" s="11">
        <v>1</v>
      </c>
      <c r="G10" s="254"/>
    </row>
    <row r="11" spans="1:7" ht="18" x14ac:dyDescent="0.2">
      <c r="A11" s="305"/>
      <c r="B11" s="136" t="s">
        <v>26</v>
      </c>
      <c r="C11" s="11" t="s">
        <v>252</v>
      </c>
      <c r="D11" s="249">
        <f>B3-3</f>
        <v>177</v>
      </c>
      <c r="E11" s="236"/>
      <c r="F11" s="11">
        <v>2</v>
      </c>
      <c r="G11" s="255"/>
    </row>
    <row r="12" spans="1:7" ht="18" x14ac:dyDescent="0.15">
      <c r="A12" s="171" t="s">
        <v>65</v>
      </c>
      <c r="B12" s="11" t="s">
        <v>253</v>
      </c>
      <c r="C12" s="276" t="s">
        <v>254</v>
      </c>
      <c r="D12" s="249">
        <f>B3-5</f>
        <v>175</v>
      </c>
      <c r="E12" s="236"/>
      <c r="F12" s="11">
        <v>2</v>
      </c>
      <c r="G12" s="270">
        <v>45</v>
      </c>
    </row>
    <row r="13" spans="1:7" x14ac:dyDescent="0.15">
      <c r="A13" s="390" t="s">
        <v>66</v>
      </c>
      <c r="B13" s="11" t="s">
        <v>253</v>
      </c>
      <c r="C13" s="254"/>
      <c r="D13" s="249">
        <f>B3-4.5</f>
        <v>175.5</v>
      </c>
      <c r="E13" s="236"/>
      <c r="F13" s="11">
        <v>2</v>
      </c>
      <c r="G13" s="254"/>
    </row>
    <row r="14" spans="1:7" x14ac:dyDescent="0.15">
      <c r="A14" s="305"/>
      <c r="B14" s="11" t="s">
        <v>255</v>
      </c>
      <c r="C14" s="255"/>
      <c r="D14" s="249">
        <f>(B4+1.5)/2</f>
        <v>57.75</v>
      </c>
      <c r="E14" s="236"/>
      <c r="F14" s="11">
        <v>4</v>
      </c>
      <c r="G14" s="255"/>
    </row>
    <row r="15" spans="1:7" x14ac:dyDescent="0.15">
      <c r="A15" s="390" t="s">
        <v>256</v>
      </c>
      <c r="B15" s="11" t="s">
        <v>257</v>
      </c>
      <c r="C15" s="13" t="s">
        <v>258</v>
      </c>
      <c r="D15" s="249">
        <f>D14-8</f>
        <v>49.75</v>
      </c>
      <c r="E15" s="236"/>
      <c r="F15" s="11">
        <v>2</v>
      </c>
      <c r="G15" s="270">
        <v>90</v>
      </c>
    </row>
    <row r="16" spans="1:7" x14ac:dyDescent="0.15">
      <c r="A16" s="304"/>
      <c r="B16" s="11" t="s">
        <v>259</v>
      </c>
      <c r="C16" s="11" t="s">
        <v>260</v>
      </c>
      <c r="D16" s="249">
        <v>8</v>
      </c>
      <c r="E16" s="236"/>
      <c r="F16" s="11">
        <v>2</v>
      </c>
      <c r="G16" s="254"/>
    </row>
    <row r="17" spans="1:7" x14ac:dyDescent="0.15">
      <c r="A17" s="305"/>
      <c r="B17" s="11" t="s">
        <v>222</v>
      </c>
      <c r="C17" s="11" t="s">
        <v>261</v>
      </c>
      <c r="D17" s="249">
        <v>8</v>
      </c>
      <c r="E17" s="236"/>
      <c r="F17" s="11">
        <v>1</v>
      </c>
      <c r="G17" s="255"/>
    </row>
    <row r="18" spans="1:7" ht="18" x14ac:dyDescent="0.2">
      <c r="A18" s="172" t="s">
        <v>262</v>
      </c>
      <c r="B18" s="11" t="s">
        <v>263</v>
      </c>
      <c r="C18" s="11" t="s">
        <v>264</v>
      </c>
      <c r="D18" s="249">
        <v>1.2</v>
      </c>
      <c r="E18" s="236"/>
      <c r="F18" s="11">
        <v>8</v>
      </c>
      <c r="G18" s="11">
        <v>90</v>
      </c>
    </row>
    <row r="19" spans="1:7" x14ac:dyDescent="0.15">
      <c r="A19" s="393" t="s">
        <v>265</v>
      </c>
      <c r="B19" s="387"/>
      <c r="C19" s="242"/>
      <c r="D19" s="51" t="s">
        <v>3</v>
      </c>
      <c r="E19" s="51" t="s">
        <v>6</v>
      </c>
      <c r="F19" s="11"/>
      <c r="G19" s="270">
        <v>90</v>
      </c>
    </row>
    <row r="20" spans="1:7" ht="15" customHeight="1" x14ac:dyDescent="0.15">
      <c r="A20" s="304"/>
      <c r="B20" s="173" t="s">
        <v>266</v>
      </c>
      <c r="C20" s="174"/>
      <c r="D20" s="175">
        <f t="shared" ref="D20:D21" si="0">D12-4</f>
        <v>171</v>
      </c>
      <c r="E20" s="175">
        <f>D14-4</f>
        <v>53.75</v>
      </c>
      <c r="F20" s="158">
        <v>1</v>
      </c>
      <c r="G20" s="254"/>
    </row>
    <row r="21" spans="1:7" ht="15" customHeight="1" x14ac:dyDescent="0.15">
      <c r="A21" s="305"/>
      <c r="B21" s="173" t="s">
        <v>66</v>
      </c>
      <c r="C21" s="176"/>
      <c r="D21" s="175">
        <f t="shared" si="0"/>
        <v>171.5</v>
      </c>
      <c r="E21" s="175">
        <f>D14-4</f>
        <v>53.75</v>
      </c>
      <c r="F21" s="158">
        <v>1</v>
      </c>
      <c r="G21" s="255"/>
    </row>
    <row r="22" spans="1:7" ht="15.75" customHeight="1" x14ac:dyDescent="0.2">
      <c r="A22" s="172" t="s">
        <v>42</v>
      </c>
      <c r="B22" s="11" t="s">
        <v>267</v>
      </c>
      <c r="C22" s="11"/>
      <c r="D22" s="249"/>
      <c r="E22" s="236"/>
      <c r="F22" s="51">
        <f>(D20*4)+(E20*4)</f>
        <v>899</v>
      </c>
      <c r="G22" s="11" t="s">
        <v>43</v>
      </c>
    </row>
    <row r="23" spans="1:7" ht="15.75" customHeight="1" x14ac:dyDescent="0.2">
      <c r="A23" s="172" t="s">
        <v>80</v>
      </c>
      <c r="B23" s="24" t="s">
        <v>268</v>
      </c>
      <c r="C23" s="24"/>
      <c r="D23" s="246"/>
      <c r="E23" s="236"/>
      <c r="F23" s="11">
        <v>2</v>
      </c>
      <c r="G23" s="11"/>
    </row>
    <row r="24" spans="1:7" ht="15" customHeight="1" x14ac:dyDescent="0.15">
      <c r="A24" s="177"/>
      <c r="B24" s="11" t="s">
        <v>166</v>
      </c>
      <c r="C24" s="11" t="s">
        <v>167</v>
      </c>
      <c r="D24" s="246"/>
      <c r="E24" s="236"/>
      <c r="F24" s="11">
        <v>20</v>
      </c>
      <c r="G24" s="11"/>
    </row>
    <row r="25" spans="1:7" ht="15" customHeight="1" x14ac:dyDescent="0.15">
      <c r="A25" s="390" t="s">
        <v>169</v>
      </c>
      <c r="B25" s="11" t="s">
        <v>269</v>
      </c>
      <c r="C25" s="11" t="s">
        <v>270</v>
      </c>
      <c r="D25" s="246"/>
      <c r="E25" s="236"/>
      <c r="F25" s="11">
        <v>8</v>
      </c>
      <c r="G25" s="11"/>
    </row>
    <row r="26" spans="1:7" ht="15" customHeight="1" x14ac:dyDescent="0.15">
      <c r="A26" s="304"/>
      <c r="B26" s="11" t="s">
        <v>170</v>
      </c>
      <c r="C26" s="11" t="s">
        <v>271</v>
      </c>
      <c r="D26" s="246"/>
      <c r="E26" s="236"/>
      <c r="F26" s="11">
        <v>6</v>
      </c>
      <c r="G26" s="11"/>
    </row>
    <row r="27" spans="1:7" ht="15" customHeight="1" x14ac:dyDescent="0.15">
      <c r="A27" s="135" t="s">
        <v>172</v>
      </c>
      <c r="B27" s="11" t="s">
        <v>272</v>
      </c>
      <c r="C27" s="11" t="s">
        <v>173</v>
      </c>
      <c r="D27" s="246"/>
      <c r="E27" s="236"/>
      <c r="F27" s="11">
        <v>6</v>
      </c>
      <c r="G27" s="11"/>
    </row>
    <row r="28" spans="1:7" ht="15.75" customHeight="1" x14ac:dyDescent="0.2">
      <c r="A28" s="401" t="s">
        <v>56</v>
      </c>
      <c r="B28" s="236"/>
      <c r="C28" s="239"/>
      <c r="D28" s="238"/>
      <c r="E28" s="238"/>
      <c r="F28" s="238"/>
      <c r="G28" s="236"/>
    </row>
    <row r="29" spans="1:7" ht="15.75" customHeight="1" x14ac:dyDescent="0.2">
      <c r="A29" s="401" t="s">
        <v>57</v>
      </c>
      <c r="B29" s="236"/>
      <c r="C29" s="239"/>
      <c r="D29" s="238"/>
      <c r="E29" s="238"/>
      <c r="F29" s="238"/>
      <c r="G29" s="236"/>
    </row>
    <row r="30" spans="1:7" ht="18" customHeight="1" x14ac:dyDescent="0.2">
      <c r="A30" s="396" t="s">
        <v>58</v>
      </c>
      <c r="B30" s="241"/>
      <c r="C30" s="241"/>
      <c r="D30" s="241"/>
      <c r="E30" s="242"/>
      <c r="F30" s="388"/>
      <c r="G30" s="272"/>
    </row>
    <row r="31" spans="1:7" ht="15" customHeight="1" x14ac:dyDescent="0.2">
      <c r="A31" s="324"/>
      <c r="B31" s="251"/>
      <c r="C31" s="251"/>
      <c r="D31" s="251"/>
      <c r="E31" s="272"/>
      <c r="F31" s="243"/>
      <c r="G31" s="245"/>
    </row>
    <row r="32" spans="1:7" ht="15.75" customHeight="1" x14ac:dyDescent="0.2">
      <c r="A32" s="397"/>
      <c r="B32" s="398"/>
      <c r="C32" s="398"/>
      <c r="D32" s="398"/>
      <c r="E32" s="399"/>
      <c r="F32" s="239" t="s">
        <v>59</v>
      </c>
      <c r="G32" s="236"/>
    </row>
    <row r="33" spans="1:7" ht="15.75" customHeight="1" x14ac:dyDescent="0.25">
      <c r="A33" s="178"/>
      <c r="B33" s="179"/>
      <c r="C33" s="179"/>
      <c r="D33" s="179"/>
      <c r="E33" s="179"/>
      <c r="F33" s="179"/>
      <c r="G33" s="179"/>
    </row>
    <row r="34" spans="1:7" ht="15.75" customHeight="1" x14ac:dyDescent="0.25">
      <c r="A34" s="178"/>
      <c r="B34" s="400"/>
      <c r="C34" s="251"/>
      <c r="D34" s="251"/>
      <c r="E34" s="179"/>
      <c r="F34" s="179"/>
      <c r="G34" s="179"/>
    </row>
    <row r="35" spans="1:7" ht="15.75" customHeight="1" x14ac:dyDescent="0.25">
      <c r="A35" s="178"/>
      <c r="B35" s="179"/>
      <c r="C35" s="179"/>
      <c r="D35" s="179"/>
      <c r="E35" s="179"/>
      <c r="F35" s="179"/>
      <c r="G35" s="179"/>
    </row>
    <row r="36" spans="1:7" ht="15.75" customHeight="1" x14ac:dyDescent="0.25">
      <c r="A36" s="180"/>
      <c r="B36" s="179"/>
      <c r="C36" s="181"/>
      <c r="D36" s="181"/>
      <c r="E36" s="181"/>
      <c r="F36" s="179"/>
      <c r="G36" s="179"/>
    </row>
    <row r="37" spans="1:7" ht="15.75" customHeight="1" x14ac:dyDescent="0.25">
      <c r="A37" s="180"/>
      <c r="B37" s="179"/>
      <c r="C37" s="181"/>
      <c r="D37" s="181"/>
      <c r="E37" s="160">
        <f>B3</f>
        <v>180</v>
      </c>
      <c r="F37" s="179"/>
      <c r="G37" s="179"/>
    </row>
    <row r="38" spans="1:7" ht="15.75" customHeight="1" x14ac:dyDescent="0.25">
      <c r="A38" s="180"/>
      <c r="B38" s="179"/>
      <c r="C38" s="181"/>
      <c r="D38" s="181"/>
      <c r="E38" s="181"/>
      <c r="F38" s="179"/>
      <c r="G38" s="179"/>
    </row>
    <row r="39" spans="1:7" ht="15.75" customHeight="1" x14ac:dyDescent="0.25">
      <c r="A39" s="180"/>
      <c r="B39" s="179"/>
      <c r="C39" s="181"/>
      <c r="D39" s="181"/>
      <c r="E39" s="181"/>
      <c r="F39" s="179"/>
      <c r="G39" s="179"/>
    </row>
    <row r="40" spans="1:7" ht="15.75" customHeight="1" x14ac:dyDescent="0.25">
      <c r="A40" s="180"/>
      <c r="B40" s="179"/>
      <c r="C40" s="181"/>
      <c r="D40" s="181"/>
      <c r="E40" s="181"/>
      <c r="F40" s="179"/>
      <c r="G40" s="179"/>
    </row>
    <row r="41" spans="1:7" ht="15.75" customHeight="1" x14ac:dyDescent="0.25">
      <c r="A41" s="180"/>
      <c r="B41" s="179"/>
      <c r="C41" s="181"/>
      <c r="D41" s="181"/>
      <c r="E41" s="182"/>
      <c r="F41" s="179"/>
      <c r="G41" s="179"/>
    </row>
    <row r="42" spans="1:7" ht="15.75" customHeight="1" x14ac:dyDescent="0.25">
      <c r="A42" s="180"/>
      <c r="B42" s="297">
        <f>B4</f>
        <v>114</v>
      </c>
      <c r="C42" s="251"/>
      <c r="D42" s="251"/>
      <c r="E42" s="181"/>
      <c r="F42" s="179"/>
      <c r="G42" s="179"/>
    </row>
    <row r="43" spans="1:7" ht="15.75" customHeight="1" x14ac:dyDescent="0.25">
      <c r="A43" s="180"/>
      <c r="B43" s="179"/>
      <c r="C43" s="181"/>
      <c r="D43" s="181"/>
      <c r="E43" s="181"/>
      <c r="F43" s="179"/>
      <c r="G43" s="179"/>
    </row>
    <row r="44" spans="1:7" ht="15.75" customHeight="1" x14ac:dyDescent="0.25">
      <c r="A44" s="180"/>
      <c r="B44" s="179"/>
      <c r="C44" s="181"/>
      <c r="D44" s="181"/>
      <c r="E44" s="181"/>
      <c r="F44" s="179"/>
      <c r="G44" s="179"/>
    </row>
    <row r="45" spans="1:7" ht="15.75" customHeight="1" x14ac:dyDescent="0.25">
      <c r="A45" s="180"/>
      <c r="B45" s="179"/>
      <c r="C45" s="181"/>
      <c r="D45" s="181"/>
      <c r="E45" s="181"/>
      <c r="F45" s="179"/>
      <c r="G45" s="179"/>
    </row>
    <row r="46" spans="1:7" ht="15.75" customHeight="1" x14ac:dyDescent="0.25">
      <c r="A46" s="180"/>
      <c r="B46" s="179"/>
      <c r="C46" s="181"/>
      <c r="D46" s="181"/>
      <c r="E46" s="181"/>
      <c r="F46" s="179"/>
      <c r="G46" s="179"/>
    </row>
    <row r="47" spans="1:7" ht="15.75" customHeight="1" x14ac:dyDescent="0.25">
      <c r="A47" s="180"/>
      <c r="B47" s="179"/>
      <c r="C47" s="181"/>
      <c r="D47" s="181"/>
      <c r="E47" s="181"/>
      <c r="F47" s="179"/>
      <c r="G47" s="179"/>
    </row>
    <row r="48" spans="1:7" ht="15.75" customHeight="1" x14ac:dyDescent="0.25">
      <c r="A48" s="180"/>
      <c r="B48" s="400"/>
      <c r="C48" s="251"/>
      <c r="D48" s="251"/>
      <c r="E48" s="181"/>
      <c r="F48" s="179"/>
      <c r="G48" s="179"/>
    </row>
    <row r="49" spans="1:7" ht="15.75" customHeight="1" x14ac:dyDescent="0.25">
      <c r="A49" s="180"/>
      <c r="B49" s="179"/>
      <c r="C49" s="181"/>
      <c r="D49" s="181"/>
      <c r="E49" s="181"/>
      <c r="F49" s="179"/>
      <c r="G49" s="179"/>
    </row>
    <row r="50" spans="1:7" ht="15.75" customHeight="1" x14ac:dyDescent="0.25">
      <c r="A50" s="180"/>
      <c r="B50" s="179"/>
      <c r="C50" s="181"/>
      <c r="D50" s="181"/>
      <c r="E50" s="181"/>
      <c r="F50" s="179"/>
      <c r="G50" s="179"/>
    </row>
    <row r="51" spans="1:7" ht="15.75" customHeight="1" x14ac:dyDescent="0.25">
      <c r="A51" s="180"/>
      <c r="B51" s="179"/>
      <c r="C51" s="181"/>
      <c r="D51" s="181"/>
      <c r="E51" s="181"/>
      <c r="F51" s="179"/>
      <c r="G51" s="179"/>
    </row>
    <row r="52" spans="1:7" ht="15.75" customHeight="1" x14ac:dyDescent="0.2"/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49">
    <mergeCell ref="B34:D34"/>
    <mergeCell ref="B48:D48"/>
    <mergeCell ref="B42:D42"/>
    <mergeCell ref="A29:B29"/>
    <mergeCell ref="A28:B28"/>
    <mergeCell ref="C5:G5"/>
    <mergeCell ref="A2:G2"/>
    <mergeCell ref="A1:G1"/>
    <mergeCell ref="C3:G3"/>
    <mergeCell ref="D23:E23"/>
    <mergeCell ref="G7:G8"/>
    <mergeCell ref="G9:G11"/>
    <mergeCell ref="A5:B5"/>
    <mergeCell ref="A13:A14"/>
    <mergeCell ref="A9:A11"/>
    <mergeCell ref="A7:B8"/>
    <mergeCell ref="A19:A21"/>
    <mergeCell ref="A15:A17"/>
    <mergeCell ref="F32:G32"/>
    <mergeCell ref="D27:E27"/>
    <mergeCell ref="C12:C14"/>
    <mergeCell ref="C7:C8"/>
    <mergeCell ref="A6:B6"/>
    <mergeCell ref="D24:E24"/>
    <mergeCell ref="A30:E32"/>
    <mergeCell ref="A25:A26"/>
    <mergeCell ref="D25:E25"/>
    <mergeCell ref="D26:E26"/>
    <mergeCell ref="C29:G29"/>
    <mergeCell ref="C28:G28"/>
    <mergeCell ref="F30:G31"/>
    <mergeCell ref="G12:G14"/>
    <mergeCell ref="G15:G17"/>
    <mergeCell ref="D17:E17"/>
    <mergeCell ref="C6:G6"/>
    <mergeCell ref="G19:G21"/>
    <mergeCell ref="D9:E9"/>
    <mergeCell ref="D18:E18"/>
    <mergeCell ref="F7:F8"/>
    <mergeCell ref="D7:E8"/>
    <mergeCell ref="D14:E14"/>
    <mergeCell ref="D16:E16"/>
    <mergeCell ref="D15:E15"/>
    <mergeCell ref="D22:E22"/>
    <mergeCell ref="B19:C19"/>
    <mergeCell ref="D10:E10"/>
    <mergeCell ref="D13:E13"/>
    <mergeCell ref="D11:E11"/>
    <mergeCell ref="D12:E12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"/>
  <sheetViews>
    <sheetView workbookViewId="0"/>
  </sheetViews>
  <sheetFormatPr defaultColWidth="14.390625" defaultRowHeight="15" customHeight="1" x14ac:dyDescent="0.2"/>
  <cols>
    <col min="1" max="1" width="25.01953125" customWidth="1"/>
    <col min="2" max="2" width="29.45703125" customWidth="1"/>
    <col min="3" max="3" width="10.625" customWidth="1"/>
    <col min="4" max="4" width="8.0703125" customWidth="1"/>
    <col min="5" max="5" width="9.14453125" customWidth="1"/>
    <col min="6" max="6" width="6.3203125" customWidth="1"/>
    <col min="7" max="7" width="13.046875" customWidth="1"/>
  </cols>
  <sheetData>
    <row r="1" spans="1:7" ht="20.25" x14ac:dyDescent="0.25">
      <c r="A1" s="395" t="s">
        <v>0</v>
      </c>
      <c r="B1" s="314"/>
      <c r="C1" s="314"/>
      <c r="D1" s="314"/>
      <c r="E1" s="314"/>
      <c r="F1" s="314"/>
      <c r="G1" s="315"/>
    </row>
    <row r="2" spans="1:7" ht="20.25" x14ac:dyDescent="0.25">
      <c r="A2" s="261" t="s">
        <v>273</v>
      </c>
      <c r="B2" s="238"/>
      <c r="C2" s="238"/>
      <c r="D2" s="238"/>
      <c r="E2" s="238"/>
      <c r="F2" s="238"/>
      <c r="G2" s="236"/>
    </row>
    <row r="3" spans="1:7" ht="20.25" x14ac:dyDescent="0.25">
      <c r="A3" s="71" t="s">
        <v>3</v>
      </c>
      <c r="B3" s="183">
        <v>180</v>
      </c>
      <c r="C3" s="263" t="s">
        <v>4</v>
      </c>
      <c r="D3" s="238"/>
      <c r="E3" s="238"/>
      <c r="F3" s="238"/>
      <c r="G3" s="236"/>
    </row>
    <row r="4" spans="1:7" ht="20.25" x14ac:dyDescent="0.25">
      <c r="A4" s="71" t="s">
        <v>6</v>
      </c>
      <c r="B4" s="183">
        <v>70</v>
      </c>
      <c r="C4" s="263" t="s">
        <v>4</v>
      </c>
      <c r="D4" s="238"/>
      <c r="E4" s="238"/>
      <c r="F4" s="238"/>
      <c r="G4" s="236"/>
    </row>
    <row r="5" spans="1:7" ht="20.25" x14ac:dyDescent="0.25">
      <c r="A5" s="263" t="s">
        <v>72</v>
      </c>
      <c r="B5" s="236"/>
      <c r="C5" s="371"/>
      <c r="D5" s="238"/>
      <c r="E5" s="238"/>
      <c r="F5" s="238"/>
      <c r="G5" s="236"/>
    </row>
    <row r="6" spans="1:7" ht="20.25" x14ac:dyDescent="0.25">
      <c r="A6" s="263" t="s">
        <v>183</v>
      </c>
      <c r="B6" s="236"/>
      <c r="C6" s="371"/>
      <c r="D6" s="238"/>
      <c r="E6" s="238"/>
      <c r="F6" s="238"/>
      <c r="G6" s="236"/>
    </row>
    <row r="7" spans="1:7" ht="15" customHeight="1" x14ac:dyDescent="0.2">
      <c r="A7" s="248" t="s">
        <v>10</v>
      </c>
      <c r="B7" s="242"/>
      <c r="C7" s="270" t="s">
        <v>11</v>
      </c>
      <c r="D7" s="346" t="s">
        <v>12</v>
      </c>
      <c r="E7" s="242"/>
      <c r="F7" s="270" t="s">
        <v>13</v>
      </c>
      <c r="G7" s="270" t="s">
        <v>14</v>
      </c>
    </row>
    <row r="8" spans="1:7" ht="22.5" customHeight="1" x14ac:dyDescent="0.2">
      <c r="A8" s="243"/>
      <c r="B8" s="245"/>
      <c r="C8" s="255"/>
      <c r="D8" s="243"/>
      <c r="E8" s="245"/>
      <c r="F8" s="255"/>
      <c r="G8" s="255"/>
    </row>
    <row r="9" spans="1:7" x14ac:dyDescent="0.15">
      <c r="A9" s="286" t="s">
        <v>19</v>
      </c>
      <c r="B9" s="270" t="s">
        <v>274</v>
      </c>
      <c r="C9" s="344" t="s">
        <v>275</v>
      </c>
      <c r="D9" s="249">
        <f>B3</f>
        <v>180</v>
      </c>
      <c r="E9" s="236"/>
      <c r="F9" s="11">
        <v>2</v>
      </c>
      <c r="G9" s="11">
        <v>90</v>
      </c>
    </row>
    <row r="10" spans="1:7" x14ac:dyDescent="0.15">
      <c r="A10" s="255"/>
      <c r="B10" s="255"/>
      <c r="C10" s="255"/>
      <c r="D10" s="249">
        <f>B4-2.8</f>
        <v>67.2</v>
      </c>
      <c r="E10" s="236"/>
      <c r="F10" s="11">
        <v>2</v>
      </c>
      <c r="G10" s="11">
        <v>90</v>
      </c>
    </row>
    <row r="11" spans="1:7" x14ac:dyDescent="0.15">
      <c r="A11" s="286" t="s">
        <v>66</v>
      </c>
      <c r="B11" s="11" t="s">
        <v>276</v>
      </c>
      <c r="C11" s="276" t="s">
        <v>95</v>
      </c>
      <c r="D11" s="249">
        <f>B3-2.9</f>
        <v>177.1</v>
      </c>
      <c r="E11" s="236"/>
      <c r="F11" s="11">
        <v>2</v>
      </c>
      <c r="G11" s="11">
        <v>45</v>
      </c>
    </row>
    <row r="12" spans="1:7" x14ac:dyDescent="0.15">
      <c r="A12" s="254"/>
      <c r="B12" s="11" t="s">
        <v>276</v>
      </c>
      <c r="C12" s="255"/>
      <c r="D12" s="249">
        <f>B4-3.6</f>
        <v>66.400000000000006</v>
      </c>
      <c r="E12" s="236"/>
      <c r="F12" s="11">
        <v>2</v>
      </c>
      <c r="G12" s="11">
        <v>45</v>
      </c>
    </row>
    <row r="13" spans="1:7" x14ac:dyDescent="0.15">
      <c r="A13" s="405" t="s">
        <v>265</v>
      </c>
      <c r="B13" s="406" t="s">
        <v>277</v>
      </c>
      <c r="C13" s="13"/>
      <c r="D13" s="51" t="s">
        <v>3</v>
      </c>
      <c r="E13" s="51" t="s">
        <v>6</v>
      </c>
      <c r="F13" s="11"/>
      <c r="G13" s="11"/>
    </row>
    <row r="14" spans="1:7" x14ac:dyDescent="0.15">
      <c r="A14" s="255"/>
      <c r="B14" s="255"/>
      <c r="C14" s="11"/>
      <c r="D14" s="163">
        <f>D11-7.1</f>
        <v>170</v>
      </c>
      <c r="E14" s="163">
        <f>D12-7.1</f>
        <v>59.300000000000004</v>
      </c>
      <c r="F14" s="158">
        <v>1</v>
      </c>
      <c r="G14" s="11">
        <v>90</v>
      </c>
    </row>
    <row r="15" spans="1:7" ht="18" x14ac:dyDescent="0.15">
      <c r="A15" s="184" t="s">
        <v>42</v>
      </c>
      <c r="B15" s="11">
        <v>5020</v>
      </c>
      <c r="C15" s="11"/>
      <c r="D15" s="249"/>
      <c r="E15" s="236"/>
      <c r="F15" s="11">
        <f>(D14*2)+(E14*2)</f>
        <v>458.6</v>
      </c>
      <c r="G15" s="11" t="s">
        <v>43</v>
      </c>
    </row>
    <row r="16" spans="1:7" ht="18" x14ac:dyDescent="0.15">
      <c r="A16" s="184" t="s">
        <v>200</v>
      </c>
      <c r="B16" s="11" t="s">
        <v>166</v>
      </c>
      <c r="C16" s="11" t="s">
        <v>278</v>
      </c>
      <c r="D16" s="246"/>
      <c r="E16" s="236"/>
      <c r="F16" s="11">
        <v>14</v>
      </c>
      <c r="G16" s="11"/>
    </row>
    <row r="17" spans="1:7" ht="18" x14ac:dyDescent="0.15">
      <c r="A17" s="61" t="s">
        <v>279</v>
      </c>
      <c r="B17" s="11" t="s">
        <v>170</v>
      </c>
      <c r="C17" s="11" t="s">
        <v>280</v>
      </c>
      <c r="D17" s="246"/>
      <c r="E17" s="236"/>
      <c r="F17" s="11">
        <v>6</v>
      </c>
      <c r="G17" s="11"/>
    </row>
    <row r="18" spans="1:7" ht="18" x14ac:dyDescent="0.15">
      <c r="A18" s="184" t="s">
        <v>172</v>
      </c>
      <c r="B18" s="11" t="s">
        <v>272</v>
      </c>
      <c r="C18" s="11" t="s">
        <v>173</v>
      </c>
      <c r="D18" s="246"/>
      <c r="E18" s="236"/>
      <c r="F18" s="11">
        <v>6</v>
      </c>
      <c r="G18" s="11"/>
    </row>
    <row r="19" spans="1:7" ht="18" x14ac:dyDescent="0.2">
      <c r="A19" s="136" t="s">
        <v>281</v>
      </c>
      <c r="B19" s="11" t="s">
        <v>175</v>
      </c>
      <c r="C19" s="11"/>
      <c r="D19" s="246"/>
      <c r="E19" s="236"/>
      <c r="F19" s="11">
        <v>3</v>
      </c>
      <c r="G19" s="11"/>
    </row>
    <row r="20" spans="1:7" ht="18" x14ac:dyDescent="0.2">
      <c r="A20" s="136" t="s">
        <v>222</v>
      </c>
      <c r="B20" s="11" t="s">
        <v>282</v>
      </c>
      <c r="C20" s="11" t="s">
        <v>261</v>
      </c>
      <c r="D20" s="246"/>
      <c r="E20" s="236"/>
      <c r="F20" s="11">
        <v>1</v>
      </c>
      <c r="G20" s="11"/>
    </row>
    <row r="21" spans="1:7" ht="15.75" customHeight="1" x14ac:dyDescent="0.2">
      <c r="A21" s="136" t="s">
        <v>54</v>
      </c>
      <c r="B21" s="11" t="s">
        <v>283</v>
      </c>
      <c r="C21" s="11"/>
      <c r="D21" s="246"/>
      <c r="E21" s="236"/>
      <c r="F21" s="11">
        <v>1</v>
      </c>
      <c r="G21" s="11"/>
    </row>
    <row r="22" spans="1:7" ht="15.75" customHeight="1" x14ac:dyDescent="0.2">
      <c r="A22" s="366" t="s">
        <v>56</v>
      </c>
      <c r="B22" s="236"/>
      <c r="C22" s="366"/>
      <c r="D22" s="238"/>
      <c r="E22" s="238"/>
      <c r="F22" s="238"/>
      <c r="G22" s="236"/>
    </row>
    <row r="23" spans="1:7" ht="15.75" customHeight="1" x14ac:dyDescent="0.2">
      <c r="A23" s="366" t="s">
        <v>57</v>
      </c>
      <c r="B23" s="236"/>
      <c r="C23" s="366"/>
      <c r="D23" s="238"/>
      <c r="E23" s="238"/>
      <c r="F23" s="238"/>
      <c r="G23" s="236"/>
    </row>
    <row r="24" spans="1:7" ht="15.75" customHeight="1" x14ac:dyDescent="0.2">
      <c r="A24" s="402" t="s">
        <v>58</v>
      </c>
      <c r="B24" s="241"/>
      <c r="C24" s="241"/>
      <c r="D24" s="241"/>
      <c r="E24" s="242"/>
      <c r="F24" s="185"/>
      <c r="G24" s="186"/>
    </row>
    <row r="25" spans="1:7" ht="15.75" customHeight="1" x14ac:dyDescent="0.2">
      <c r="A25" s="243"/>
      <c r="B25" s="244"/>
      <c r="C25" s="244"/>
      <c r="D25" s="244"/>
      <c r="E25" s="245"/>
      <c r="F25" s="366" t="s">
        <v>59</v>
      </c>
      <c r="G25" s="236"/>
    </row>
    <row r="26" spans="1:7" ht="15.75" customHeight="1" x14ac:dyDescent="0.2">
      <c r="A26" s="2"/>
      <c r="B26" s="2"/>
      <c r="C26" s="2"/>
      <c r="D26" s="2"/>
      <c r="E26" s="2"/>
      <c r="F26" s="2"/>
      <c r="G26" s="2"/>
    </row>
    <row r="27" spans="1:7" ht="15.75" customHeight="1" x14ac:dyDescent="0.2">
      <c r="A27" s="2"/>
      <c r="B27" s="2"/>
      <c r="C27" s="187"/>
      <c r="D27" s="187"/>
      <c r="E27" s="187"/>
      <c r="F27" s="187"/>
      <c r="G27" s="187"/>
    </row>
    <row r="28" spans="1:7" ht="15.75" customHeight="1" x14ac:dyDescent="0.2">
      <c r="A28" s="2"/>
      <c r="B28" s="2"/>
      <c r="C28" s="187"/>
      <c r="D28" s="187"/>
      <c r="E28" s="187"/>
      <c r="F28" s="187"/>
      <c r="G28" s="187"/>
    </row>
    <row r="29" spans="1:7" ht="15.75" customHeight="1" x14ac:dyDescent="0.2">
      <c r="A29" s="2"/>
      <c r="B29" s="2"/>
      <c r="C29" s="403"/>
      <c r="D29" s="364"/>
      <c r="E29" s="364"/>
      <c r="F29" s="187"/>
      <c r="G29" s="187"/>
    </row>
    <row r="30" spans="1:7" ht="15.75" customHeight="1" x14ac:dyDescent="0.2">
      <c r="A30" s="2"/>
      <c r="B30" s="2"/>
      <c r="C30" s="187"/>
      <c r="D30" s="187"/>
      <c r="E30" s="187"/>
      <c r="F30" s="187"/>
      <c r="G30" s="187"/>
    </row>
    <row r="31" spans="1:7" ht="15.75" customHeight="1" x14ac:dyDescent="0.2">
      <c r="A31" s="2"/>
      <c r="B31" s="2"/>
      <c r="C31" s="187"/>
      <c r="D31" s="187"/>
      <c r="E31" s="187"/>
      <c r="F31" s="187"/>
      <c r="G31" s="187"/>
    </row>
    <row r="32" spans="1:7" ht="15.75" customHeight="1" x14ac:dyDescent="0.2">
      <c r="A32" s="2"/>
      <c r="B32" s="2"/>
      <c r="C32" s="187"/>
      <c r="D32" s="187"/>
      <c r="E32" s="187"/>
      <c r="F32" s="187"/>
      <c r="G32" s="187"/>
    </row>
    <row r="33" spans="1:7" ht="15.75" customHeight="1" x14ac:dyDescent="0.2">
      <c r="A33" s="2"/>
      <c r="B33" s="2"/>
      <c r="C33" s="187"/>
      <c r="D33" s="187"/>
      <c r="E33" s="187"/>
      <c r="F33" s="187"/>
      <c r="G33" s="187"/>
    </row>
    <row r="34" spans="1:7" ht="15.75" customHeight="1" x14ac:dyDescent="0.3">
      <c r="A34" s="2"/>
      <c r="B34" s="2"/>
      <c r="C34" s="187"/>
      <c r="D34" s="187"/>
      <c r="E34" s="188">
        <f>B3</f>
        <v>180</v>
      </c>
      <c r="F34" s="187"/>
      <c r="G34" s="187"/>
    </row>
    <row r="35" spans="1:7" ht="15.75" customHeight="1" x14ac:dyDescent="0.2">
      <c r="A35" s="2"/>
      <c r="B35" s="2"/>
      <c r="C35" s="187"/>
      <c r="D35" s="187"/>
      <c r="E35" s="187"/>
      <c r="F35" s="187"/>
      <c r="G35" s="187"/>
    </row>
    <row r="36" spans="1:7" ht="15.75" customHeight="1" x14ac:dyDescent="0.2">
      <c r="A36" s="2"/>
      <c r="B36" s="2"/>
      <c r="C36" s="187"/>
      <c r="D36" s="187"/>
      <c r="E36" s="187"/>
      <c r="F36" s="189"/>
      <c r="G36" s="187"/>
    </row>
    <row r="37" spans="1:7" ht="15.75" customHeight="1" x14ac:dyDescent="0.2">
      <c r="A37" s="2"/>
      <c r="B37" s="2"/>
      <c r="C37" s="187"/>
      <c r="D37" s="187"/>
      <c r="E37" s="187"/>
      <c r="F37" s="187"/>
      <c r="G37" s="187"/>
    </row>
    <row r="38" spans="1:7" ht="15.75" customHeight="1" x14ac:dyDescent="0.2">
      <c r="A38" s="2"/>
      <c r="B38" s="2"/>
      <c r="C38" s="187"/>
      <c r="D38" s="187"/>
      <c r="E38" s="187"/>
      <c r="F38" s="187"/>
      <c r="G38" s="187"/>
    </row>
    <row r="39" spans="1:7" ht="15.75" customHeight="1" x14ac:dyDescent="0.2">
      <c r="A39" s="2"/>
      <c r="B39" s="2"/>
      <c r="C39" s="187"/>
      <c r="D39" s="187"/>
      <c r="E39" s="187"/>
      <c r="F39" s="187"/>
      <c r="G39" s="187"/>
    </row>
    <row r="40" spans="1:7" ht="15.75" customHeight="1" x14ac:dyDescent="0.2">
      <c r="A40" s="2"/>
      <c r="B40" s="2"/>
      <c r="C40" s="187"/>
      <c r="D40" s="187"/>
      <c r="E40" s="187"/>
      <c r="F40" s="187"/>
      <c r="G40" s="187"/>
    </row>
    <row r="41" spans="1:7" ht="15.75" customHeight="1" x14ac:dyDescent="0.2">
      <c r="A41" s="2"/>
      <c r="B41" s="2"/>
      <c r="C41" s="187"/>
      <c r="D41" s="187"/>
      <c r="E41" s="187"/>
      <c r="F41" s="187"/>
      <c r="G41" s="187"/>
    </row>
    <row r="42" spans="1:7" ht="15.75" customHeight="1" x14ac:dyDescent="0.3">
      <c r="A42" s="2"/>
      <c r="B42" s="2"/>
      <c r="C42" s="404">
        <f>B4</f>
        <v>70</v>
      </c>
      <c r="D42" s="364"/>
      <c r="E42" s="187"/>
      <c r="F42" s="187"/>
      <c r="G42" s="187"/>
    </row>
    <row r="43" spans="1:7" ht="15.75" customHeight="1" x14ac:dyDescent="0.2">
      <c r="A43" s="2"/>
      <c r="B43" s="2"/>
      <c r="C43" s="187"/>
      <c r="D43" s="187"/>
      <c r="E43" s="187"/>
      <c r="F43" s="187"/>
      <c r="G43" s="187"/>
    </row>
    <row r="44" spans="1:7" ht="15.75" customHeight="1" x14ac:dyDescent="0.2">
      <c r="A44" s="2"/>
      <c r="B44" s="2"/>
      <c r="C44" s="187"/>
      <c r="D44" s="187"/>
      <c r="E44" s="187"/>
      <c r="F44" s="187"/>
      <c r="G44" s="187"/>
    </row>
    <row r="45" spans="1:7" ht="15.75" customHeight="1" x14ac:dyDescent="0.2">
      <c r="A45" s="2"/>
      <c r="B45" s="2"/>
      <c r="C45" s="187"/>
      <c r="D45" s="187"/>
      <c r="E45" s="187"/>
      <c r="F45" s="187"/>
      <c r="G45" s="187"/>
    </row>
    <row r="46" spans="1:7" ht="15.75" customHeight="1" x14ac:dyDescent="0.2">
      <c r="A46" s="2"/>
      <c r="B46" s="2"/>
      <c r="C46" s="403"/>
      <c r="D46" s="364"/>
      <c r="E46" s="364"/>
      <c r="F46" s="187"/>
      <c r="G46" s="187"/>
    </row>
    <row r="47" spans="1:7" ht="15.75" customHeight="1" x14ac:dyDescent="0.2">
      <c r="A47" s="2"/>
      <c r="B47" s="2"/>
      <c r="C47" s="187"/>
      <c r="D47" s="187"/>
      <c r="E47" s="187"/>
      <c r="F47" s="187"/>
      <c r="G47" s="187"/>
    </row>
    <row r="48" spans="1:7" ht="15.75" customHeight="1" x14ac:dyDescent="0.2">
      <c r="A48" s="2"/>
      <c r="B48" s="2"/>
      <c r="C48" s="2"/>
      <c r="D48" s="2"/>
      <c r="E48" s="2"/>
      <c r="F48" s="2"/>
      <c r="G48" s="2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40">
    <mergeCell ref="A6:B6"/>
    <mergeCell ref="C6:G6"/>
    <mergeCell ref="D10:E10"/>
    <mergeCell ref="D12:E12"/>
    <mergeCell ref="D11:E11"/>
    <mergeCell ref="D9:E9"/>
    <mergeCell ref="C9:C10"/>
    <mergeCell ref="A1:G1"/>
    <mergeCell ref="A2:G2"/>
    <mergeCell ref="C4:G4"/>
    <mergeCell ref="C3:G3"/>
    <mergeCell ref="C5:G5"/>
    <mergeCell ref="A5:B5"/>
    <mergeCell ref="C7:C8"/>
    <mergeCell ref="A7:B8"/>
    <mergeCell ref="G7:G8"/>
    <mergeCell ref="F7:F8"/>
    <mergeCell ref="D7:E8"/>
    <mergeCell ref="C11:C12"/>
    <mergeCell ref="A13:A14"/>
    <mergeCell ref="B13:B14"/>
    <mergeCell ref="A11:A12"/>
    <mergeCell ref="B9:B10"/>
    <mergeCell ref="A9:A10"/>
    <mergeCell ref="C29:E29"/>
    <mergeCell ref="C46:E46"/>
    <mergeCell ref="C42:D42"/>
    <mergeCell ref="D16:E16"/>
    <mergeCell ref="D15:E15"/>
    <mergeCell ref="D19:E19"/>
    <mergeCell ref="D21:E21"/>
    <mergeCell ref="D20:E20"/>
    <mergeCell ref="D17:E17"/>
    <mergeCell ref="D18:E18"/>
    <mergeCell ref="A24:E25"/>
    <mergeCell ref="F25:G25"/>
    <mergeCell ref="A23:B23"/>
    <mergeCell ref="A22:B22"/>
    <mergeCell ref="C22:G22"/>
    <mergeCell ref="C23:G23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390625" defaultRowHeight="15" customHeight="1" x14ac:dyDescent="0.2"/>
  <cols>
    <col min="1" max="1" width="14.52734375" customWidth="1"/>
    <col min="2" max="2" width="19.63671875" customWidth="1"/>
    <col min="3" max="3" width="8.609375" customWidth="1"/>
    <col min="4" max="4" width="17.08203125" customWidth="1"/>
    <col min="5" max="5" width="8.609375" customWidth="1"/>
    <col min="6" max="6" width="1.8828125" customWidth="1"/>
    <col min="7" max="8" width="8.609375" customWidth="1"/>
  </cols>
  <sheetData>
    <row r="1" spans="1:8" ht="22.5" x14ac:dyDescent="0.25">
      <c r="A1" s="262" t="s">
        <v>0</v>
      </c>
      <c r="B1" s="238"/>
      <c r="C1" s="238"/>
      <c r="D1" s="238"/>
      <c r="E1" s="238"/>
      <c r="F1" s="238"/>
      <c r="G1" s="238"/>
      <c r="H1" s="236"/>
    </row>
    <row r="2" spans="1:8" ht="18" x14ac:dyDescent="0.2">
      <c r="A2" s="407" t="s">
        <v>284</v>
      </c>
      <c r="B2" s="314"/>
      <c r="C2" s="314"/>
      <c r="D2" s="314"/>
      <c r="E2" s="314"/>
      <c r="F2" s="314"/>
      <c r="G2" s="314"/>
      <c r="H2" s="315"/>
    </row>
    <row r="3" spans="1:8" ht="20.25" x14ac:dyDescent="0.25">
      <c r="A3" s="239" t="s">
        <v>3</v>
      </c>
      <c r="B3" s="238"/>
      <c r="C3" s="236"/>
      <c r="D3" s="166">
        <v>230</v>
      </c>
      <c r="E3" s="330" t="s">
        <v>4</v>
      </c>
      <c r="F3" s="238"/>
      <c r="G3" s="238"/>
      <c r="H3" s="236"/>
    </row>
    <row r="4" spans="1:8" ht="20.25" customHeight="1" x14ac:dyDescent="0.25">
      <c r="A4" s="278" t="s">
        <v>6</v>
      </c>
      <c r="B4" s="238"/>
      <c r="C4" s="236"/>
      <c r="D4" s="166">
        <v>360</v>
      </c>
      <c r="E4" s="330" t="s">
        <v>4</v>
      </c>
      <c r="F4" s="238"/>
      <c r="G4" s="238"/>
      <c r="H4" s="236"/>
    </row>
    <row r="5" spans="1:8" ht="20.25" x14ac:dyDescent="0.25">
      <c r="A5" s="263" t="s">
        <v>72</v>
      </c>
      <c r="B5" s="236"/>
      <c r="C5" s="263"/>
      <c r="D5" s="238"/>
      <c r="E5" s="238"/>
      <c r="F5" s="238"/>
      <c r="G5" s="238"/>
      <c r="H5" s="236"/>
    </row>
    <row r="6" spans="1:8" ht="20.25" x14ac:dyDescent="0.25">
      <c r="A6" s="263" t="s">
        <v>9</v>
      </c>
      <c r="B6" s="236"/>
      <c r="C6" s="263"/>
      <c r="D6" s="238"/>
      <c r="E6" s="238"/>
      <c r="F6" s="238"/>
      <c r="G6" s="238"/>
      <c r="H6" s="236"/>
    </row>
    <row r="7" spans="1:8" ht="21.75" x14ac:dyDescent="0.15">
      <c r="A7" s="278" t="s">
        <v>61</v>
      </c>
      <c r="B7" s="236"/>
      <c r="C7" s="58" t="s">
        <v>11</v>
      </c>
      <c r="D7" s="290" t="s">
        <v>12</v>
      </c>
      <c r="E7" s="238"/>
      <c r="F7" s="236"/>
      <c r="G7" s="106" t="s">
        <v>13</v>
      </c>
      <c r="H7" s="60" t="s">
        <v>125</v>
      </c>
    </row>
    <row r="8" spans="1:8" x14ac:dyDescent="0.15">
      <c r="A8" s="276" t="s">
        <v>19</v>
      </c>
      <c r="B8" s="11" t="s">
        <v>20</v>
      </c>
      <c r="C8" s="95" t="s">
        <v>230</v>
      </c>
      <c r="D8" s="249">
        <f>D4</f>
        <v>360</v>
      </c>
      <c r="E8" s="238"/>
      <c r="F8" s="236"/>
      <c r="G8" s="11">
        <v>1</v>
      </c>
      <c r="H8" s="11">
        <v>90</v>
      </c>
    </row>
    <row r="9" spans="1:8" x14ac:dyDescent="0.15">
      <c r="A9" s="254"/>
      <c r="B9" s="11" t="s">
        <v>23</v>
      </c>
      <c r="C9" s="95" t="s">
        <v>231</v>
      </c>
      <c r="D9" s="249">
        <f>D4</f>
        <v>360</v>
      </c>
      <c r="E9" s="238"/>
      <c r="F9" s="236"/>
      <c r="G9" s="11">
        <v>1</v>
      </c>
      <c r="H9" s="11">
        <v>90</v>
      </c>
    </row>
    <row r="10" spans="1:8" x14ac:dyDescent="0.15">
      <c r="A10" s="255"/>
      <c r="B10" s="11" t="s">
        <v>26</v>
      </c>
      <c r="C10" s="95" t="s">
        <v>232</v>
      </c>
      <c r="D10" s="249">
        <f>D3-1.5</f>
        <v>228.5</v>
      </c>
      <c r="E10" s="238"/>
      <c r="F10" s="236"/>
      <c r="G10" s="11">
        <v>2</v>
      </c>
      <c r="H10" s="11">
        <v>90</v>
      </c>
    </row>
    <row r="11" spans="1:8" x14ac:dyDescent="0.15">
      <c r="A11" s="331" t="s">
        <v>66</v>
      </c>
      <c r="B11" s="11" t="s">
        <v>285</v>
      </c>
      <c r="C11" s="95" t="s">
        <v>233</v>
      </c>
      <c r="D11" s="249">
        <f>D3-0.4</f>
        <v>229.6</v>
      </c>
      <c r="E11" s="238"/>
      <c r="F11" s="236"/>
      <c r="G11" s="11">
        <v>1</v>
      </c>
      <c r="H11" s="11">
        <v>90</v>
      </c>
    </row>
    <row r="12" spans="1:8" x14ac:dyDescent="0.15">
      <c r="A12" s="254"/>
      <c r="B12" s="11" t="s">
        <v>286</v>
      </c>
      <c r="C12" s="95" t="s">
        <v>234</v>
      </c>
      <c r="D12" s="249">
        <f>D11</f>
        <v>229.6</v>
      </c>
      <c r="E12" s="238"/>
      <c r="F12" s="236"/>
      <c r="G12" s="11">
        <v>1</v>
      </c>
      <c r="H12" s="11">
        <v>90</v>
      </c>
    </row>
    <row r="13" spans="1:8" x14ac:dyDescent="0.15">
      <c r="A13" s="254"/>
      <c r="B13" s="11" t="s">
        <v>96</v>
      </c>
      <c r="C13" s="95" t="s">
        <v>235</v>
      </c>
      <c r="D13" s="249">
        <f>(D4+7.2)/3</f>
        <v>122.39999999999999</v>
      </c>
      <c r="E13" s="238"/>
      <c r="F13" s="236"/>
      <c r="G13" s="11">
        <v>1</v>
      </c>
      <c r="H13" s="11">
        <v>90</v>
      </c>
    </row>
    <row r="14" spans="1:8" x14ac:dyDescent="0.15">
      <c r="A14" s="255"/>
      <c r="B14" s="11" t="s">
        <v>99</v>
      </c>
      <c r="C14" s="95" t="s">
        <v>235</v>
      </c>
      <c r="D14" s="249">
        <f>D13</f>
        <v>122.39999999999999</v>
      </c>
      <c r="E14" s="238"/>
      <c r="F14" s="236"/>
      <c r="G14" s="11">
        <v>1</v>
      </c>
      <c r="H14" s="11">
        <v>90</v>
      </c>
    </row>
    <row r="15" spans="1:8" x14ac:dyDescent="0.15">
      <c r="A15" s="331" t="s">
        <v>126</v>
      </c>
      <c r="B15" s="11" t="s">
        <v>285</v>
      </c>
      <c r="C15" s="95" t="s">
        <v>233</v>
      </c>
      <c r="D15" s="249">
        <f>D3-3.5</f>
        <v>226.5</v>
      </c>
      <c r="E15" s="238"/>
      <c r="F15" s="236"/>
      <c r="G15" s="11">
        <v>3</v>
      </c>
      <c r="H15" s="11">
        <v>90</v>
      </c>
    </row>
    <row r="16" spans="1:8" x14ac:dyDescent="0.15">
      <c r="A16" s="254"/>
      <c r="B16" s="11" t="s">
        <v>286</v>
      </c>
      <c r="C16" s="95" t="s">
        <v>234</v>
      </c>
      <c r="D16" s="249">
        <f>D3-3.5</f>
        <v>226.5</v>
      </c>
      <c r="E16" s="238"/>
      <c r="F16" s="236"/>
      <c r="G16" s="11">
        <v>1</v>
      </c>
      <c r="H16" s="11">
        <v>90</v>
      </c>
    </row>
    <row r="17" spans="1:8" x14ac:dyDescent="0.15">
      <c r="A17" s="254"/>
      <c r="B17" s="11" t="s">
        <v>96</v>
      </c>
      <c r="C17" s="95" t="s">
        <v>235</v>
      </c>
      <c r="D17" s="249">
        <f>(D4+7.2)/3</f>
        <v>122.39999999999999</v>
      </c>
      <c r="E17" s="238"/>
      <c r="F17" s="236"/>
      <c r="G17" s="11">
        <v>2</v>
      </c>
      <c r="H17" s="11">
        <v>90</v>
      </c>
    </row>
    <row r="18" spans="1:8" x14ac:dyDescent="0.15">
      <c r="A18" s="254"/>
      <c r="B18" s="11" t="s">
        <v>287</v>
      </c>
      <c r="C18" s="95" t="s">
        <v>235</v>
      </c>
      <c r="D18" s="249">
        <f>D17</f>
        <v>122.39999999999999</v>
      </c>
      <c r="E18" s="238"/>
      <c r="F18" s="236"/>
      <c r="G18" s="11">
        <v>2</v>
      </c>
      <c r="H18" s="11">
        <v>90</v>
      </c>
    </row>
    <row r="19" spans="1:8" x14ac:dyDescent="0.15">
      <c r="A19" s="254"/>
      <c r="B19" s="128" t="s">
        <v>128</v>
      </c>
      <c r="C19" s="11"/>
      <c r="D19" s="249">
        <f>D14</f>
        <v>122.39999999999999</v>
      </c>
      <c r="E19" s="238"/>
      <c r="F19" s="236"/>
      <c r="G19" s="11">
        <v>1</v>
      </c>
      <c r="H19" s="11">
        <v>90</v>
      </c>
    </row>
    <row r="20" spans="1:8" x14ac:dyDescent="0.2">
      <c r="A20" s="408" t="s">
        <v>39</v>
      </c>
      <c r="B20" s="383" t="s">
        <v>141</v>
      </c>
      <c r="C20" s="276"/>
      <c r="D20" s="384" t="s">
        <v>3</v>
      </c>
      <c r="E20" s="385" t="s">
        <v>41</v>
      </c>
      <c r="F20" s="242"/>
      <c r="G20" s="344"/>
      <c r="H20" s="344"/>
    </row>
    <row r="21" spans="1:8" ht="15.75" customHeight="1" x14ac:dyDescent="0.2">
      <c r="A21" s="254"/>
      <c r="B21" s="255"/>
      <c r="C21" s="255"/>
      <c r="D21" s="255"/>
      <c r="E21" s="243"/>
      <c r="F21" s="245"/>
      <c r="G21" s="255"/>
      <c r="H21" s="255"/>
    </row>
    <row r="22" spans="1:8" ht="15.75" customHeight="1" x14ac:dyDescent="0.15">
      <c r="A22" s="254"/>
      <c r="B22" s="190" t="s">
        <v>131</v>
      </c>
      <c r="C22" s="191"/>
      <c r="D22" s="163">
        <f>D11-13.5</f>
        <v>216.1</v>
      </c>
      <c r="E22" s="359">
        <f>D13-11.3</f>
        <v>111.1</v>
      </c>
      <c r="F22" s="236"/>
      <c r="G22" s="11">
        <v>1</v>
      </c>
      <c r="H22" s="11"/>
    </row>
    <row r="23" spans="1:8" ht="15.75" customHeight="1" x14ac:dyDescent="0.15">
      <c r="A23" s="254"/>
      <c r="B23" s="190" t="s">
        <v>132</v>
      </c>
      <c r="C23" s="191"/>
      <c r="D23" s="163">
        <f>D15-13.5</f>
        <v>213</v>
      </c>
      <c r="E23" s="359">
        <f>D17-11.3</f>
        <v>111.1</v>
      </c>
      <c r="F23" s="236"/>
      <c r="G23" s="11">
        <v>1</v>
      </c>
      <c r="H23" s="11"/>
    </row>
    <row r="24" spans="1:8" ht="15.75" customHeight="1" x14ac:dyDescent="0.15">
      <c r="A24" s="255"/>
      <c r="B24" s="190" t="s">
        <v>133</v>
      </c>
      <c r="C24" s="192"/>
      <c r="D24" s="163">
        <f>D15-13.5</f>
        <v>213</v>
      </c>
      <c r="E24" s="359">
        <f>D17-11.3</f>
        <v>111.1</v>
      </c>
      <c r="F24" s="236"/>
      <c r="G24" s="11">
        <v>1</v>
      </c>
      <c r="H24" s="11"/>
    </row>
    <row r="25" spans="1:8" ht="15.75" customHeight="1" x14ac:dyDescent="0.15">
      <c r="A25" s="11" t="s">
        <v>42</v>
      </c>
      <c r="B25" s="11">
        <v>7038</v>
      </c>
      <c r="C25" s="11"/>
      <c r="D25" s="249"/>
      <c r="E25" s="238"/>
      <c r="F25" s="236"/>
      <c r="G25" s="11">
        <f>(D22*6)+(E22*6)</f>
        <v>1963.1999999999998</v>
      </c>
      <c r="H25" s="11" t="s">
        <v>43</v>
      </c>
    </row>
    <row r="26" spans="1:8" ht="15.75" customHeight="1" x14ac:dyDescent="0.15">
      <c r="A26" s="331" t="s">
        <v>44</v>
      </c>
      <c r="B26" s="11" t="s">
        <v>288</v>
      </c>
      <c r="C26" s="11"/>
      <c r="D26" s="246"/>
      <c r="E26" s="238"/>
      <c r="F26" s="236"/>
      <c r="G26" s="11">
        <v>16</v>
      </c>
      <c r="H26" s="11"/>
    </row>
    <row r="27" spans="1:8" ht="15.75" customHeight="1" x14ac:dyDescent="0.15">
      <c r="A27" s="254"/>
      <c r="B27" s="11" t="s">
        <v>288</v>
      </c>
      <c r="C27" s="11"/>
      <c r="D27" s="246"/>
      <c r="E27" s="238"/>
      <c r="F27" s="236"/>
      <c r="G27" s="11">
        <v>10</v>
      </c>
      <c r="H27" s="11"/>
    </row>
    <row r="28" spans="1:8" ht="15.75" customHeight="1" x14ac:dyDescent="0.15">
      <c r="A28" s="255"/>
      <c r="B28" s="11" t="s">
        <v>105</v>
      </c>
      <c r="C28" s="11"/>
      <c r="D28" s="246"/>
      <c r="E28" s="238"/>
      <c r="F28" s="236"/>
      <c r="G28" s="11">
        <v>6</v>
      </c>
      <c r="H28" s="11"/>
    </row>
    <row r="29" spans="1:8" ht="15.75" customHeight="1" x14ac:dyDescent="0.15">
      <c r="A29" s="11" t="s">
        <v>70</v>
      </c>
      <c r="B29" s="11" t="s">
        <v>106</v>
      </c>
      <c r="C29" s="11"/>
      <c r="D29" s="246"/>
      <c r="E29" s="238"/>
      <c r="F29" s="236"/>
      <c r="G29" s="11">
        <v>10</v>
      </c>
      <c r="H29" s="11"/>
    </row>
    <row r="30" spans="1:8" ht="15.75" customHeight="1" x14ac:dyDescent="0.15">
      <c r="A30" s="13" t="s">
        <v>80</v>
      </c>
      <c r="B30" s="11">
        <v>7038</v>
      </c>
      <c r="C30" s="11"/>
      <c r="D30" s="246"/>
      <c r="E30" s="238"/>
      <c r="F30" s="236"/>
      <c r="G30" s="11">
        <v>4</v>
      </c>
      <c r="H30" s="11"/>
    </row>
    <row r="31" spans="1:8" ht="15.75" customHeight="1" x14ac:dyDescent="0.15">
      <c r="A31" s="331" t="s">
        <v>53</v>
      </c>
      <c r="B31" s="11" t="s">
        <v>240</v>
      </c>
      <c r="C31" s="11"/>
      <c r="D31" s="246"/>
      <c r="E31" s="238"/>
      <c r="F31" s="236"/>
      <c r="G31" s="11">
        <v>4</v>
      </c>
      <c r="H31" s="11"/>
    </row>
    <row r="32" spans="1:8" ht="15.75" customHeight="1" x14ac:dyDescent="0.15">
      <c r="A32" s="255"/>
      <c r="B32" s="11" t="s">
        <v>241</v>
      </c>
      <c r="C32" s="11"/>
      <c r="D32" s="246"/>
      <c r="E32" s="238"/>
      <c r="F32" s="236"/>
      <c r="G32" s="11">
        <v>4</v>
      </c>
      <c r="H32" s="11"/>
    </row>
    <row r="33" spans="1:8" ht="15.75" customHeight="1" x14ac:dyDescent="0.15">
      <c r="A33" s="106" t="s">
        <v>222</v>
      </c>
      <c r="B33" s="11" t="s">
        <v>242</v>
      </c>
      <c r="C33" s="11"/>
      <c r="D33" s="20"/>
      <c r="E33" s="23"/>
      <c r="F33" s="22"/>
      <c r="G33" s="11">
        <v>1</v>
      </c>
      <c r="H33" s="11"/>
    </row>
    <row r="34" spans="1:8" ht="15.75" customHeight="1" x14ac:dyDescent="0.15">
      <c r="A34" s="11" t="s">
        <v>54</v>
      </c>
      <c r="B34" s="11" t="s">
        <v>248</v>
      </c>
      <c r="C34" s="11"/>
      <c r="D34" s="246"/>
      <c r="E34" s="238"/>
      <c r="F34" s="236"/>
      <c r="G34" s="11">
        <v>1</v>
      </c>
      <c r="H34" s="11"/>
    </row>
    <row r="35" spans="1:8" ht="15.75" customHeight="1" x14ac:dyDescent="0.2">
      <c r="A35" s="239" t="s">
        <v>56</v>
      </c>
      <c r="B35" s="236"/>
      <c r="C35" s="239"/>
      <c r="D35" s="238"/>
      <c r="E35" s="238"/>
      <c r="F35" s="238"/>
      <c r="G35" s="238"/>
      <c r="H35" s="236"/>
    </row>
    <row r="36" spans="1:8" ht="15.75" customHeight="1" x14ac:dyDescent="0.2">
      <c r="A36" s="239" t="s">
        <v>57</v>
      </c>
      <c r="B36" s="236"/>
      <c r="C36" s="239"/>
      <c r="D36" s="238"/>
      <c r="E36" s="238"/>
      <c r="F36" s="238"/>
      <c r="G36" s="238"/>
      <c r="H36" s="236"/>
    </row>
    <row r="37" spans="1:8" ht="18" customHeight="1" x14ac:dyDescent="0.2">
      <c r="A37" s="240" t="s">
        <v>58</v>
      </c>
      <c r="B37" s="241"/>
      <c r="C37" s="241"/>
      <c r="D37" s="241"/>
      <c r="E37" s="242"/>
      <c r="F37" s="240" t="s">
        <v>59</v>
      </c>
      <c r="G37" s="241"/>
      <c r="H37" s="242"/>
    </row>
    <row r="38" spans="1:8" ht="18.75" customHeight="1" x14ac:dyDescent="0.2">
      <c r="A38" s="243"/>
      <c r="B38" s="244"/>
      <c r="C38" s="244"/>
      <c r="D38" s="244"/>
      <c r="E38" s="245"/>
      <c r="F38" s="243"/>
      <c r="G38" s="244"/>
      <c r="H38" s="245"/>
    </row>
    <row r="39" spans="1:8" ht="15.75" customHeight="1" x14ac:dyDescent="0.25">
      <c r="A39" s="79"/>
      <c r="B39" s="80"/>
      <c r="C39" s="333"/>
      <c r="D39" s="251"/>
      <c r="E39" s="251"/>
      <c r="F39" s="251"/>
      <c r="G39" s="69"/>
      <c r="H39" s="80"/>
    </row>
    <row r="40" spans="1:8" ht="15.75" customHeight="1" x14ac:dyDescent="0.25">
      <c r="A40" s="79"/>
      <c r="B40" s="80"/>
      <c r="C40" s="69"/>
      <c r="D40" s="69"/>
      <c r="E40" s="69"/>
      <c r="F40" s="69"/>
      <c r="G40" s="69"/>
      <c r="H40" s="80"/>
    </row>
    <row r="41" spans="1:8" ht="15.75" customHeight="1" x14ac:dyDescent="0.25">
      <c r="A41" s="79"/>
      <c r="B41" s="80"/>
      <c r="C41" s="69"/>
      <c r="D41" s="69"/>
      <c r="E41" s="69"/>
      <c r="F41" s="69"/>
      <c r="G41" s="69"/>
      <c r="H41" s="80"/>
    </row>
    <row r="42" spans="1:8" ht="15.75" customHeight="1" x14ac:dyDescent="0.25">
      <c r="A42" s="79"/>
      <c r="B42" s="80"/>
      <c r="C42" s="69"/>
      <c r="D42" s="69"/>
      <c r="E42" s="69"/>
      <c r="F42" s="69"/>
      <c r="G42" s="81"/>
      <c r="H42" s="80"/>
    </row>
    <row r="43" spans="1:8" ht="15.75" customHeight="1" x14ac:dyDescent="0.25">
      <c r="A43" s="79"/>
      <c r="B43" s="80"/>
      <c r="C43" s="69"/>
      <c r="D43" s="69"/>
      <c r="E43" s="69"/>
      <c r="F43" s="69"/>
      <c r="G43" s="69"/>
      <c r="H43" s="84">
        <f>D3</f>
        <v>230</v>
      </c>
    </row>
    <row r="44" spans="1:8" ht="15.75" customHeight="1" x14ac:dyDescent="0.25">
      <c r="A44" s="79"/>
      <c r="B44" s="80"/>
      <c r="C44" s="69"/>
      <c r="D44" s="69"/>
      <c r="E44" s="69"/>
      <c r="F44" s="69"/>
      <c r="G44" s="69"/>
      <c r="H44" s="80"/>
    </row>
    <row r="45" spans="1:8" ht="15.75" customHeight="1" x14ac:dyDescent="0.25">
      <c r="A45" s="79"/>
      <c r="B45" s="80"/>
      <c r="C45" s="333"/>
      <c r="D45" s="251"/>
      <c r="E45" s="251"/>
      <c r="F45" s="251"/>
      <c r="G45" s="69"/>
      <c r="H45" s="80"/>
    </row>
    <row r="46" spans="1:8" ht="15.75" customHeight="1" x14ac:dyDescent="0.25">
      <c r="A46" s="79"/>
      <c r="B46" s="80"/>
      <c r="C46" s="80"/>
      <c r="D46" s="80"/>
      <c r="E46" s="69"/>
      <c r="G46" s="69"/>
      <c r="H46" s="80"/>
    </row>
    <row r="47" spans="1:8" ht="15.75" customHeight="1" x14ac:dyDescent="0.2"/>
    <row r="48" spans="1:8" ht="15.75" customHeight="1" x14ac:dyDescent="0.2"/>
    <row r="49" spans="3:8" ht="15.75" customHeight="1" x14ac:dyDescent="0.2"/>
    <row r="50" spans="3:8" ht="15" customHeight="1" x14ac:dyDescent="0.3">
      <c r="C50" s="252">
        <f>D4</f>
        <v>360</v>
      </c>
      <c r="D50" s="251"/>
      <c r="E50" s="251"/>
      <c r="F50" s="251"/>
      <c r="G50" s="251"/>
      <c r="H50" s="251"/>
    </row>
    <row r="51" spans="3:8" ht="15.75" customHeight="1" x14ac:dyDescent="0.2"/>
    <row r="52" spans="3:8" ht="15.75" customHeight="1" x14ac:dyDescent="0.2"/>
    <row r="53" spans="3:8" ht="15.75" customHeight="1" x14ac:dyDescent="0.2"/>
    <row r="54" spans="3:8" ht="15.75" customHeight="1" x14ac:dyDescent="0.2"/>
    <row r="55" spans="3:8" ht="15.75" customHeight="1" x14ac:dyDescent="0.2"/>
    <row r="56" spans="3:8" ht="15.75" customHeight="1" x14ac:dyDescent="0.2"/>
    <row r="57" spans="3:8" ht="15.75" customHeight="1" x14ac:dyDescent="0.2"/>
    <row r="58" spans="3:8" ht="15.75" customHeight="1" x14ac:dyDescent="0.2"/>
    <row r="59" spans="3:8" ht="15.75" customHeight="1" x14ac:dyDescent="0.2"/>
    <row r="60" spans="3:8" ht="15.75" customHeight="1" x14ac:dyDescent="0.2"/>
    <row r="61" spans="3:8" ht="15.75" customHeight="1" x14ac:dyDescent="0.2"/>
    <row r="62" spans="3:8" ht="15.75" customHeight="1" x14ac:dyDescent="0.2"/>
    <row r="63" spans="3:8" ht="15.75" customHeight="1" x14ac:dyDescent="0.2"/>
    <row r="64" spans="3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7">
    <mergeCell ref="H20:H21"/>
    <mergeCell ref="C20:C21"/>
    <mergeCell ref="A6:B6"/>
    <mergeCell ref="A5:B5"/>
    <mergeCell ref="C39:F39"/>
    <mergeCell ref="C45:F45"/>
    <mergeCell ref="C50:H50"/>
    <mergeCell ref="A37:E38"/>
    <mergeCell ref="F37:H38"/>
    <mergeCell ref="A2:H2"/>
    <mergeCell ref="A1:H1"/>
    <mergeCell ref="C6:H6"/>
    <mergeCell ref="D32:F32"/>
    <mergeCell ref="D34:F34"/>
    <mergeCell ref="D31:F31"/>
    <mergeCell ref="D30:F30"/>
    <mergeCell ref="D27:F27"/>
    <mergeCell ref="D28:F28"/>
    <mergeCell ref="B20:B21"/>
    <mergeCell ref="A20:A24"/>
    <mergeCell ref="D20:D21"/>
    <mergeCell ref="E22:F22"/>
    <mergeCell ref="E23:F23"/>
    <mergeCell ref="E20:F21"/>
    <mergeCell ref="G20:G21"/>
    <mergeCell ref="E4:H4"/>
    <mergeCell ref="C5:H5"/>
    <mergeCell ref="A7:B7"/>
    <mergeCell ref="A3:C3"/>
    <mergeCell ref="A4:C4"/>
    <mergeCell ref="E3:H3"/>
    <mergeCell ref="D7:F7"/>
    <mergeCell ref="D8:F8"/>
    <mergeCell ref="D10:F10"/>
    <mergeCell ref="D9:F9"/>
    <mergeCell ref="A8:A10"/>
    <mergeCell ref="D13:F13"/>
    <mergeCell ref="D16:F16"/>
    <mergeCell ref="A15:A19"/>
    <mergeCell ref="D12:F12"/>
    <mergeCell ref="A11:A14"/>
    <mergeCell ref="D11:F11"/>
    <mergeCell ref="D17:F17"/>
    <mergeCell ref="D19:F19"/>
    <mergeCell ref="D18:F18"/>
    <mergeCell ref="D14:F14"/>
    <mergeCell ref="D15:F15"/>
    <mergeCell ref="A36:B36"/>
    <mergeCell ref="C36:H36"/>
    <mergeCell ref="C35:H35"/>
    <mergeCell ref="D29:F29"/>
    <mergeCell ref="A31:A32"/>
    <mergeCell ref="D26:F26"/>
    <mergeCell ref="A26:A28"/>
    <mergeCell ref="D25:F25"/>
    <mergeCell ref="E24:F24"/>
    <mergeCell ref="A35:B35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390625" defaultRowHeight="15" customHeight="1" x14ac:dyDescent="0.2"/>
  <cols>
    <col min="1" max="1" width="16.94921875" customWidth="1"/>
    <col min="2" max="2" width="27.84375" customWidth="1"/>
    <col min="3" max="3" width="8.33984375" customWidth="1"/>
    <col min="4" max="4" width="12.375" customWidth="1"/>
    <col min="5" max="5" width="7.6640625" customWidth="1"/>
    <col min="6" max="6" width="4.9765625" customWidth="1"/>
    <col min="7" max="7" width="6.58984375" customWidth="1"/>
    <col min="8" max="8" width="12.64453125" customWidth="1"/>
  </cols>
  <sheetData>
    <row r="1" spans="1:8" ht="22.5" x14ac:dyDescent="0.25">
      <c r="A1" s="313" t="s">
        <v>0</v>
      </c>
      <c r="B1" s="314"/>
      <c r="C1" s="314"/>
      <c r="D1" s="314"/>
      <c r="E1" s="314"/>
      <c r="F1" s="314"/>
      <c r="G1" s="314"/>
      <c r="H1" s="315"/>
    </row>
    <row r="2" spans="1:8" ht="20.25" x14ac:dyDescent="0.25">
      <c r="A2" s="423" t="s">
        <v>289</v>
      </c>
      <c r="B2" s="238"/>
      <c r="C2" s="238"/>
      <c r="D2" s="238"/>
      <c r="E2" s="238"/>
      <c r="F2" s="238"/>
      <c r="G2" s="238"/>
      <c r="H2" s="236"/>
    </row>
    <row r="3" spans="1:8" ht="23.25" customHeight="1" x14ac:dyDescent="0.2">
      <c r="A3" s="415" t="s">
        <v>3</v>
      </c>
      <c r="B3" s="238"/>
      <c r="C3" s="236"/>
      <c r="D3" s="193">
        <v>80</v>
      </c>
      <c r="E3" s="194" t="s">
        <v>4</v>
      </c>
      <c r="F3" s="195"/>
      <c r="G3" s="196"/>
      <c r="H3" s="197"/>
    </row>
    <row r="4" spans="1:8" ht="18" customHeight="1" x14ac:dyDescent="0.2">
      <c r="A4" s="415" t="s">
        <v>6</v>
      </c>
      <c r="B4" s="238"/>
      <c r="C4" s="236"/>
      <c r="D4" s="193">
        <v>80</v>
      </c>
      <c r="E4" s="194" t="s">
        <v>4</v>
      </c>
      <c r="F4" s="198"/>
      <c r="G4" s="198"/>
      <c r="H4" s="197"/>
    </row>
    <row r="5" spans="1:8" ht="20.25" x14ac:dyDescent="0.2">
      <c r="A5" s="415" t="s">
        <v>8</v>
      </c>
      <c r="B5" s="238"/>
      <c r="C5" s="236"/>
      <c r="D5" s="424"/>
      <c r="E5" s="238"/>
      <c r="F5" s="238"/>
      <c r="G5" s="238"/>
      <c r="H5" s="236"/>
    </row>
    <row r="6" spans="1:8" ht="20.25" x14ac:dyDescent="0.25">
      <c r="A6" s="389" t="s">
        <v>290</v>
      </c>
      <c r="B6" s="238"/>
      <c r="C6" s="236"/>
      <c r="D6" s="424"/>
      <c r="E6" s="238"/>
      <c r="F6" s="238"/>
      <c r="G6" s="238"/>
      <c r="H6" s="236"/>
    </row>
    <row r="7" spans="1:8" ht="34.5" customHeight="1" x14ac:dyDescent="0.15">
      <c r="A7" s="415" t="s">
        <v>61</v>
      </c>
      <c r="B7" s="236"/>
      <c r="C7" s="199" t="s">
        <v>11</v>
      </c>
      <c r="D7" s="425" t="s">
        <v>291</v>
      </c>
      <c r="E7" s="238"/>
      <c r="F7" s="236"/>
      <c r="G7" s="200" t="s">
        <v>13</v>
      </c>
      <c r="H7" s="200" t="s">
        <v>84</v>
      </c>
    </row>
    <row r="8" spans="1:8" x14ac:dyDescent="0.15">
      <c r="A8" s="412" t="s">
        <v>19</v>
      </c>
      <c r="B8" s="11" t="s">
        <v>292</v>
      </c>
      <c r="C8" s="276" t="s">
        <v>251</v>
      </c>
      <c r="D8" s="413">
        <f>D4</f>
        <v>80</v>
      </c>
      <c r="E8" s="238"/>
      <c r="F8" s="236"/>
      <c r="G8" s="201">
        <v>1</v>
      </c>
      <c r="H8" s="201">
        <v>45</v>
      </c>
    </row>
    <row r="9" spans="1:8" x14ac:dyDescent="0.15">
      <c r="A9" s="304"/>
      <c r="B9" s="11" t="s">
        <v>293</v>
      </c>
      <c r="C9" s="255"/>
      <c r="D9" s="413">
        <f>D4</f>
        <v>80</v>
      </c>
      <c r="E9" s="238"/>
      <c r="F9" s="236"/>
      <c r="G9" s="201">
        <v>1</v>
      </c>
      <c r="H9" s="201">
        <v>45</v>
      </c>
    </row>
    <row r="10" spans="1:8" x14ac:dyDescent="0.15">
      <c r="A10" s="305"/>
      <c r="B10" s="11" t="s">
        <v>294</v>
      </c>
      <c r="C10" s="11" t="s">
        <v>252</v>
      </c>
      <c r="D10" s="413">
        <f>D3</f>
        <v>80</v>
      </c>
      <c r="E10" s="238"/>
      <c r="F10" s="236"/>
      <c r="G10" s="201">
        <v>2</v>
      </c>
      <c r="H10" s="201">
        <v>45</v>
      </c>
    </row>
    <row r="11" spans="1:8" ht="15.75" customHeight="1" x14ac:dyDescent="0.15">
      <c r="A11" s="412" t="s">
        <v>29</v>
      </c>
      <c r="B11" s="11" t="s">
        <v>295</v>
      </c>
      <c r="C11" s="276" t="s">
        <v>254</v>
      </c>
      <c r="D11" s="413">
        <f>D3-2.5</f>
        <v>77.5</v>
      </c>
      <c r="E11" s="238"/>
      <c r="F11" s="236"/>
      <c r="G11" s="201">
        <v>4</v>
      </c>
      <c r="H11" s="201">
        <v>45</v>
      </c>
    </row>
    <row r="12" spans="1:8" ht="15.75" customHeight="1" x14ac:dyDescent="0.15">
      <c r="A12" s="304"/>
      <c r="B12" s="59" t="s">
        <v>296</v>
      </c>
      <c r="C12" s="255"/>
      <c r="D12" s="413">
        <f>(D4+0.9)/2</f>
        <v>40.450000000000003</v>
      </c>
      <c r="E12" s="238"/>
      <c r="F12" s="236"/>
      <c r="G12" s="201">
        <v>4</v>
      </c>
      <c r="H12" s="201">
        <v>45</v>
      </c>
    </row>
    <row r="13" spans="1:8" ht="15.75" customHeight="1" x14ac:dyDescent="0.15">
      <c r="A13" s="305"/>
      <c r="B13" s="11" t="s">
        <v>297</v>
      </c>
      <c r="C13" s="11" t="s">
        <v>264</v>
      </c>
      <c r="D13" s="413">
        <v>1.1000000000000001</v>
      </c>
      <c r="E13" s="238"/>
      <c r="F13" s="236"/>
      <c r="G13" s="201">
        <v>8</v>
      </c>
      <c r="H13" s="201">
        <v>90</v>
      </c>
    </row>
    <row r="14" spans="1:8" ht="21.75" customHeight="1" x14ac:dyDescent="0.15">
      <c r="A14" s="411" t="s">
        <v>265</v>
      </c>
      <c r="B14" s="414" t="s">
        <v>298</v>
      </c>
      <c r="C14" s="270"/>
      <c r="D14" s="11" t="s">
        <v>3</v>
      </c>
      <c r="E14" s="421" t="s">
        <v>41</v>
      </c>
      <c r="F14" s="236"/>
      <c r="G14" s="202"/>
      <c r="H14" s="18"/>
    </row>
    <row r="15" spans="1:8" ht="15.75" customHeight="1" x14ac:dyDescent="0.15">
      <c r="A15" s="305"/>
      <c r="B15" s="255"/>
      <c r="C15" s="255"/>
      <c r="D15" s="203">
        <f>D11-4</f>
        <v>73.5</v>
      </c>
      <c r="E15" s="422">
        <f>D12-4</f>
        <v>36.450000000000003</v>
      </c>
      <c r="F15" s="236"/>
      <c r="G15" s="204">
        <v>2</v>
      </c>
      <c r="H15" s="18"/>
    </row>
    <row r="16" spans="1:8" ht="15.75" customHeight="1" x14ac:dyDescent="0.15">
      <c r="A16" s="205" t="s">
        <v>42</v>
      </c>
      <c r="B16" s="11">
        <v>5020</v>
      </c>
      <c r="C16" s="11"/>
      <c r="D16" s="409"/>
      <c r="E16" s="238"/>
      <c r="F16" s="236"/>
      <c r="G16" s="201"/>
      <c r="H16" s="18"/>
    </row>
    <row r="17" spans="1:8" x14ac:dyDescent="0.15">
      <c r="A17" s="205" t="s">
        <v>80</v>
      </c>
      <c r="B17" s="59" t="s">
        <v>299</v>
      </c>
      <c r="C17" s="59"/>
      <c r="D17" s="367"/>
      <c r="E17" s="238"/>
      <c r="F17" s="236"/>
      <c r="G17" s="201">
        <v>4</v>
      </c>
      <c r="H17" s="18"/>
    </row>
    <row r="18" spans="1:8" x14ac:dyDescent="0.15">
      <c r="A18" s="410" t="s">
        <v>48</v>
      </c>
      <c r="B18" s="59" t="s">
        <v>166</v>
      </c>
      <c r="C18" s="59" t="s">
        <v>168</v>
      </c>
      <c r="D18" s="367"/>
      <c r="E18" s="238"/>
      <c r="F18" s="236"/>
      <c r="G18" s="201">
        <v>12</v>
      </c>
      <c r="H18" s="18"/>
    </row>
    <row r="19" spans="1:8" x14ac:dyDescent="0.15">
      <c r="A19" s="305"/>
      <c r="B19" s="59" t="s">
        <v>166</v>
      </c>
      <c r="C19" s="59" t="s">
        <v>278</v>
      </c>
      <c r="D19" s="367"/>
      <c r="E19" s="238"/>
      <c r="F19" s="236"/>
      <c r="G19" s="201">
        <v>20</v>
      </c>
      <c r="H19" s="18"/>
    </row>
    <row r="20" spans="1:8" x14ac:dyDescent="0.15">
      <c r="A20" s="205" t="s">
        <v>44</v>
      </c>
      <c r="B20" s="59" t="s">
        <v>170</v>
      </c>
      <c r="C20" s="59" t="s">
        <v>67</v>
      </c>
      <c r="D20" s="367"/>
      <c r="E20" s="238"/>
      <c r="F20" s="236"/>
      <c r="G20" s="201">
        <v>4</v>
      </c>
      <c r="H20" s="18"/>
    </row>
    <row r="21" spans="1:8" ht="15.75" customHeight="1" x14ac:dyDescent="0.15">
      <c r="A21" s="205" t="s">
        <v>70</v>
      </c>
      <c r="B21" s="59" t="s">
        <v>272</v>
      </c>
      <c r="C21" s="59" t="s">
        <v>300</v>
      </c>
      <c r="D21" s="367"/>
      <c r="E21" s="238"/>
      <c r="F21" s="236"/>
      <c r="G21" s="201">
        <v>4</v>
      </c>
      <c r="H21" s="18"/>
    </row>
    <row r="22" spans="1:8" ht="15.75" customHeight="1" x14ac:dyDescent="0.15">
      <c r="A22" s="205" t="s">
        <v>301</v>
      </c>
      <c r="B22" s="40" t="s">
        <v>302</v>
      </c>
      <c r="C22" s="11"/>
      <c r="D22" s="367"/>
      <c r="E22" s="238"/>
      <c r="F22" s="236"/>
      <c r="G22" s="201">
        <v>2</v>
      </c>
      <c r="H22" s="18"/>
    </row>
    <row r="23" spans="1:8" ht="15.75" customHeight="1" x14ac:dyDescent="0.15">
      <c r="A23" s="420"/>
      <c r="B23" s="238"/>
      <c r="C23" s="238"/>
      <c r="D23" s="238"/>
      <c r="E23" s="238"/>
      <c r="F23" s="238"/>
      <c r="G23" s="238"/>
      <c r="H23" s="236"/>
    </row>
    <row r="24" spans="1:8" ht="15.75" customHeight="1" x14ac:dyDescent="0.15">
      <c r="A24" s="418" t="s">
        <v>56</v>
      </c>
      <c r="B24" s="236"/>
      <c r="C24" s="419"/>
      <c r="D24" s="238"/>
      <c r="E24" s="238"/>
      <c r="F24" s="238"/>
      <c r="G24" s="238"/>
      <c r="H24" s="236"/>
    </row>
    <row r="25" spans="1:8" ht="15.75" customHeight="1" x14ac:dyDescent="0.15">
      <c r="A25" s="418" t="s">
        <v>57</v>
      </c>
      <c r="B25" s="236"/>
      <c r="C25" s="419"/>
      <c r="D25" s="238"/>
      <c r="E25" s="238"/>
      <c r="F25" s="238"/>
      <c r="G25" s="238"/>
      <c r="H25" s="236"/>
    </row>
    <row r="26" spans="1:8" ht="15.75" customHeight="1" x14ac:dyDescent="0.2">
      <c r="A26" s="417" t="s">
        <v>58</v>
      </c>
      <c r="B26" s="241"/>
      <c r="C26" s="241"/>
      <c r="D26" s="241"/>
      <c r="E26" s="242"/>
      <c r="F26" s="416"/>
      <c r="G26" s="241"/>
      <c r="H26" s="242"/>
    </row>
    <row r="27" spans="1:8" ht="15" customHeight="1" x14ac:dyDescent="0.2">
      <c r="A27" s="324"/>
      <c r="B27" s="251"/>
      <c r="C27" s="251"/>
      <c r="D27" s="251"/>
      <c r="E27" s="272"/>
      <c r="F27" s="243"/>
      <c r="G27" s="244"/>
      <c r="H27" s="245"/>
    </row>
    <row r="28" spans="1:8" ht="15.75" customHeight="1" x14ac:dyDescent="0.15">
      <c r="A28" s="397"/>
      <c r="B28" s="398"/>
      <c r="C28" s="398"/>
      <c r="D28" s="398"/>
      <c r="E28" s="399"/>
      <c r="F28" s="419" t="s">
        <v>59</v>
      </c>
      <c r="G28" s="238"/>
      <c r="H28" s="236"/>
    </row>
    <row r="29" spans="1:8" ht="15.75" customHeight="1" x14ac:dyDescent="0.25">
      <c r="A29" s="68"/>
      <c r="B29" s="30"/>
      <c r="C29" s="30"/>
      <c r="D29" s="206"/>
      <c r="E29" s="207"/>
      <c r="F29" s="207"/>
      <c r="G29" s="207"/>
      <c r="H29" s="207"/>
    </row>
    <row r="30" spans="1:8" ht="15.75" customHeight="1" x14ac:dyDescent="0.25">
      <c r="A30" s="68"/>
      <c r="B30" s="30"/>
      <c r="C30" s="30"/>
      <c r="D30" s="207"/>
      <c r="E30" s="207"/>
      <c r="F30" s="207"/>
      <c r="G30" s="207"/>
      <c r="H30" s="207"/>
    </row>
    <row r="31" spans="1:8" ht="15.75" customHeight="1" x14ac:dyDescent="0.25">
      <c r="A31" s="68"/>
      <c r="B31" s="30"/>
      <c r="C31" s="30"/>
      <c r="D31" s="207"/>
      <c r="E31" s="207"/>
      <c r="F31" s="207"/>
      <c r="G31" s="207"/>
      <c r="H31" s="207"/>
    </row>
    <row r="32" spans="1:8" ht="15.75" customHeight="1" x14ac:dyDescent="0.25">
      <c r="A32" s="68"/>
      <c r="B32" s="30"/>
      <c r="C32" s="30"/>
      <c r="D32" s="207"/>
      <c r="E32" s="207"/>
      <c r="F32" s="207"/>
      <c r="G32" s="207"/>
      <c r="H32" s="207"/>
    </row>
    <row r="33" spans="1:8" ht="15.75" customHeight="1" x14ac:dyDescent="0.3">
      <c r="A33" s="68"/>
      <c r="B33" s="30"/>
      <c r="C33" s="30"/>
      <c r="D33" s="208">
        <f>D3</f>
        <v>80</v>
      </c>
      <c r="E33" s="207"/>
      <c r="F33" s="206"/>
      <c r="G33" s="207"/>
    </row>
    <row r="34" spans="1:8" ht="15.75" customHeight="1" x14ac:dyDescent="0.25">
      <c r="A34" s="68"/>
      <c r="B34" s="30"/>
      <c r="C34" s="30"/>
      <c r="D34" s="207"/>
      <c r="E34" s="207"/>
      <c r="F34" s="207"/>
      <c r="G34" s="207"/>
      <c r="H34" s="207"/>
    </row>
    <row r="35" spans="1:8" ht="15.75" customHeight="1" x14ac:dyDescent="0.25">
      <c r="A35" s="68"/>
      <c r="B35" s="30"/>
      <c r="C35" s="30"/>
      <c r="D35" s="207"/>
      <c r="E35" s="207"/>
      <c r="F35" s="207"/>
      <c r="G35" s="207"/>
      <c r="H35" s="207"/>
    </row>
    <row r="36" spans="1:8" ht="15.75" customHeight="1" x14ac:dyDescent="0.25">
      <c r="A36" s="68"/>
      <c r="B36" s="30"/>
      <c r="C36" s="30"/>
      <c r="D36" s="207"/>
      <c r="E36" s="207"/>
      <c r="F36" s="207"/>
      <c r="G36" s="207"/>
      <c r="H36" s="207"/>
    </row>
    <row r="37" spans="1:8" ht="15.75" customHeight="1" x14ac:dyDescent="0.25">
      <c r="A37" s="68"/>
      <c r="B37" s="30"/>
      <c r="C37" s="30"/>
      <c r="D37" s="30"/>
      <c r="E37" s="30"/>
      <c r="F37" s="30"/>
      <c r="G37" s="30"/>
      <c r="H37" s="30"/>
    </row>
    <row r="38" spans="1:8" ht="15.75" customHeight="1" x14ac:dyDescent="0.3">
      <c r="A38" s="68"/>
      <c r="B38" s="252">
        <f>D4</f>
        <v>80</v>
      </c>
      <c r="C38" s="251"/>
      <c r="E38" s="30"/>
      <c r="F38" s="30"/>
      <c r="G38" s="30"/>
      <c r="H38" s="30"/>
    </row>
    <row r="39" spans="1:8" ht="15.75" customHeight="1" x14ac:dyDescent="0.25">
      <c r="A39" s="68"/>
      <c r="B39" s="30"/>
      <c r="C39" s="30"/>
      <c r="D39" s="30"/>
      <c r="E39" s="30"/>
      <c r="F39" s="30"/>
      <c r="G39" s="30"/>
      <c r="H39" s="30"/>
    </row>
    <row r="40" spans="1:8" ht="15.75" customHeight="1" x14ac:dyDescent="0.25">
      <c r="A40" s="68"/>
      <c r="B40" s="30"/>
      <c r="C40" s="30"/>
      <c r="D40" s="30"/>
      <c r="E40" s="30"/>
      <c r="F40" s="30"/>
      <c r="G40" s="30"/>
      <c r="H40" s="30"/>
    </row>
    <row r="41" spans="1:8" ht="15.75" customHeight="1" x14ac:dyDescent="0.25">
      <c r="A41" s="68"/>
      <c r="B41" s="30"/>
      <c r="C41" s="30"/>
      <c r="D41" s="30"/>
      <c r="E41" s="30"/>
      <c r="F41" s="30"/>
      <c r="G41" s="30"/>
      <c r="H41" s="30"/>
    </row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42">
    <mergeCell ref="A2:H2"/>
    <mergeCell ref="A1:H1"/>
    <mergeCell ref="D6:H6"/>
    <mergeCell ref="D7:F7"/>
    <mergeCell ref="D5:H5"/>
    <mergeCell ref="B38:C38"/>
    <mergeCell ref="C24:H24"/>
    <mergeCell ref="C25:H25"/>
    <mergeCell ref="F28:H28"/>
    <mergeCell ref="A23:H23"/>
    <mergeCell ref="A8:A10"/>
    <mergeCell ref="F26:H27"/>
    <mergeCell ref="A26:E28"/>
    <mergeCell ref="A25:B25"/>
    <mergeCell ref="A24:B24"/>
    <mergeCell ref="D20:F20"/>
    <mergeCell ref="D21:F21"/>
    <mergeCell ref="D22:F22"/>
    <mergeCell ref="C11:C12"/>
    <mergeCell ref="C14:C15"/>
    <mergeCell ref="E14:F14"/>
    <mergeCell ref="E15:F15"/>
    <mergeCell ref="D9:F9"/>
    <mergeCell ref="D8:F8"/>
    <mergeCell ref="D10:F10"/>
    <mergeCell ref="C8:C9"/>
    <mergeCell ref="A6:C6"/>
    <mergeCell ref="A5:C5"/>
    <mergeCell ref="A4:C4"/>
    <mergeCell ref="A3:C3"/>
    <mergeCell ref="A7:B7"/>
    <mergeCell ref="A11:A13"/>
    <mergeCell ref="D13:F13"/>
    <mergeCell ref="D12:F12"/>
    <mergeCell ref="D11:F11"/>
    <mergeCell ref="D19:F19"/>
    <mergeCell ref="B14:B15"/>
    <mergeCell ref="D18:F18"/>
    <mergeCell ref="D16:F16"/>
    <mergeCell ref="D17:F17"/>
    <mergeCell ref="A18:A19"/>
    <mergeCell ref="A14:A15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"/>
  <sheetViews>
    <sheetView workbookViewId="0"/>
  </sheetViews>
  <sheetFormatPr defaultColWidth="14.390625" defaultRowHeight="15" customHeight="1" x14ac:dyDescent="0.2"/>
  <cols>
    <col min="1" max="1" width="8.609375" customWidth="1"/>
    <col min="2" max="2" width="17.08203125" customWidth="1"/>
    <col min="3" max="3" width="13.98828125" customWidth="1"/>
    <col min="4" max="4" width="14.52734375" customWidth="1"/>
    <col min="5" max="8" width="8.609375" customWidth="1"/>
    <col min="9" max="9" width="15.19921875" customWidth="1"/>
  </cols>
  <sheetData>
    <row r="1" spans="1:9" x14ac:dyDescent="0.2">
      <c r="A1" s="426" t="s">
        <v>303</v>
      </c>
      <c r="B1" s="314"/>
      <c r="C1" s="314"/>
      <c r="D1" s="427"/>
      <c r="E1" s="2"/>
      <c r="F1" s="426" t="s">
        <v>304</v>
      </c>
      <c r="G1" s="314"/>
      <c r="H1" s="314"/>
      <c r="I1" s="427"/>
    </row>
    <row r="2" spans="1:9" x14ac:dyDescent="0.2">
      <c r="A2" s="209" t="s">
        <v>305</v>
      </c>
      <c r="B2" s="19" t="s">
        <v>306</v>
      </c>
      <c r="C2" s="19" t="s">
        <v>307</v>
      </c>
      <c r="D2" s="210" t="s">
        <v>308</v>
      </c>
      <c r="F2" s="209" t="s">
        <v>305</v>
      </c>
      <c r="G2" s="19" t="s">
        <v>10</v>
      </c>
      <c r="H2" s="19" t="s">
        <v>309</v>
      </c>
      <c r="I2" s="210" t="s">
        <v>308</v>
      </c>
    </row>
    <row r="3" spans="1:9" x14ac:dyDescent="0.2">
      <c r="A3" s="209" t="s">
        <v>310</v>
      </c>
      <c r="B3" s="19" t="s">
        <v>20</v>
      </c>
      <c r="C3" s="211">
        <f t="shared" ref="C3:C9" si="0">D3*20%</f>
        <v>6320</v>
      </c>
      <c r="D3" s="212">
        <v>31600</v>
      </c>
      <c r="F3" s="209"/>
      <c r="G3" s="19" t="s">
        <v>20</v>
      </c>
      <c r="H3" s="19">
        <f t="shared" ref="H3:H9" si="1">I3*20%</f>
        <v>6320</v>
      </c>
      <c r="I3" s="213">
        <v>31600</v>
      </c>
    </row>
    <row r="4" spans="1:9" x14ac:dyDescent="0.2">
      <c r="A4" s="209" t="s">
        <v>311</v>
      </c>
      <c r="B4" s="19" t="s">
        <v>23</v>
      </c>
      <c r="C4" s="211">
        <f t="shared" si="0"/>
        <v>6860</v>
      </c>
      <c r="D4" s="212">
        <v>34300</v>
      </c>
      <c r="F4" s="209"/>
      <c r="G4" s="19" t="s">
        <v>312</v>
      </c>
      <c r="H4" s="19">
        <f t="shared" si="1"/>
        <v>6860</v>
      </c>
      <c r="I4" s="213">
        <v>34300</v>
      </c>
    </row>
    <row r="5" spans="1:9" x14ac:dyDescent="0.2">
      <c r="A5" s="209" t="s">
        <v>313</v>
      </c>
      <c r="B5" s="19" t="s">
        <v>26</v>
      </c>
      <c r="C5" s="211">
        <f t="shared" si="0"/>
        <v>6260</v>
      </c>
      <c r="D5" s="212">
        <v>31300</v>
      </c>
      <c r="F5" s="209"/>
      <c r="G5" s="19" t="s">
        <v>26</v>
      </c>
      <c r="H5" s="19">
        <f t="shared" si="1"/>
        <v>6960</v>
      </c>
      <c r="I5" s="214">
        <v>34800</v>
      </c>
    </row>
    <row r="6" spans="1:9" x14ac:dyDescent="0.2">
      <c r="A6" s="209" t="s">
        <v>314</v>
      </c>
      <c r="B6" s="19" t="s">
        <v>30</v>
      </c>
      <c r="C6" s="211">
        <f t="shared" si="0"/>
        <v>5460</v>
      </c>
      <c r="D6" s="212">
        <v>27300</v>
      </c>
      <c r="F6" s="209"/>
      <c r="G6" s="19" t="s">
        <v>30</v>
      </c>
      <c r="H6" s="19">
        <f t="shared" si="1"/>
        <v>6400</v>
      </c>
      <c r="I6" s="214">
        <v>32000</v>
      </c>
    </row>
    <row r="7" spans="1:9" x14ac:dyDescent="0.2">
      <c r="A7" s="209" t="s">
        <v>315</v>
      </c>
      <c r="B7" s="19" t="s">
        <v>33</v>
      </c>
      <c r="C7" s="211">
        <f t="shared" si="0"/>
        <v>4060</v>
      </c>
      <c r="D7" s="212">
        <v>20300</v>
      </c>
      <c r="F7" s="209"/>
      <c r="G7" s="19" t="s">
        <v>33</v>
      </c>
      <c r="H7" s="19">
        <f t="shared" si="1"/>
        <v>7700</v>
      </c>
      <c r="I7" s="214">
        <v>38500</v>
      </c>
    </row>
    <row r="8" spans="1:9" x14ac:dyDescent="0.2">
      <c r="A8" s="209" t="s">
        <v>316</v>
      </c>
      <c r="B8" s="19" t="s">
        <v>161</v>
      </c>
      <c r="C8" s="211">
        <f t="shared" si="0"/>
        <v>6360</v>
      </c>
      <c r="D8" s="212">
        <v>31800</v>
      </c>
      <c r="F8" s="209"/>
      <c r="G8" s="19" t="s">
        <v>36</v>
      </c>
      <c r="H8" s="19">
        <f t="shared" si="1"/>
        <v>6360</v>
      </c>
      <c r="I8" s="213">
        <v>31800</v>
      </c>
    </row>
    <row r="9" spans="1:9" x14ac:dyDescent="0.2">
      <c r="A9" s="209" t="s">
        <v>317</v>
      </c>
      <c r="B9" s="19" t="s">
        <v>318</v>
      </c>
      <c r="C9" s="211">
        <f t="shared" si="0"/>
        <v>10860</v>
      </c>
      <c r="D9" s="212">
        <v>54300</v>
      </c>
      <c r="F9" s="215"/>
      <c r="G9" s="216" t="s">
        <v>155</v>
      </c>
      <c r="H9" s="19">
        <f t="shared" si="1"/>
        <v>3380</v>
      </c>
      <c r="I9" s="217">
        <v>16900</v>
      </c>
    </row>
    <row r="10" spans="1:9" x14ac:dyDescent="0.2">
      <c r="A10" s="215"/>
      <c r="B10" s="216" t="s">
        <v>319</v>
      </c>
      <c r="C10" s="218"/>
      <c r="D10" s="219"/>
    </row>
    <row r="12" spans="1:9" x14ac:dyDescent="0.2">
      <c r="A12" s="426" t="s">
        <v>320</v>
      </c>
      <c r="B12" s="314"/>
      <c r="C12" s="314"/>
      <c r="D12" s="427"/>
      <c r="E12" s="2"/>
      <c r="F12" s="220"/>
      <c r="G12" s="221" t="s">
        <v>321</v>
      </c>
      <c r="H12" s="221"/>
      <c r="I12" s="222"/>
    </row>
    <row r="13" spans="1:9" x14ac:dyDescent="0.2">
      <c r="A13" s="209" t="s">
        <v>16</v>
      </c>
      <c r="B13" s="19" t="s">
        <v>61</v>
      </c>
      <c r="C13" s="19" t="s">
        <v>322</v>
      </c>
      <c r="D13" s="210" t="s">
        <v>308</v>
      </c>
      <c r="F13" s="209"/>
      <c r="G13" s="19" t="s">
        <v>323</v>
      </c>
      <c r="H13" s="19"/>
      <c r="I13" s="210"/>
    </row>
    <row r="14" spans="1:9" x14ac:dyDescent="0.2">
      <c r="A14" s="209" t="s">
        <v>324</v>
      </c>
      <c r="B14" s="19" t="s">
        <v>20</v>
      </c>
      <c r="C14" s="211">
        <f t="shared" ref="C14:C21" si="2">D14*20%</f>
        <v>6940</v>
      </c>
      <c r="D14" s="212">
        <v>34700</v>
      </c>
      <c r="F14" s="209"/>
      <c r="G14" s="19" t="s">
        <v>23</v>
      </c>
      <c r="H14" s="19"/>
      <c r="I14" s="210"/>
    </row>
    <row r="15" spans="1:9" x14ac:dyDescent="0.2">
      <c r="A15" s="209" t="s">
        <v>325</v>
      </c>
      <c r="B15" s="19" t="s">
        <v>23</v>
      </c>
      <c r="C15" s="211">
        <f t="shared" si="2"/>
        <v>8220</v>
      </c>
      <c r="D15" s="212">
        <v>41100</v>
      </c>
      <c r="F15" s="209"/>
      <c r="G15" s="19" t="s">
        <v>26</v>
      </c>
      <c r="H15" s="19"/>
      <c r="I15" s="210"/>
    </row>
    <row r="16" spans="1:9" x14ac:dyDescent="0.2">
      <c r="A16" s="209" t="s">
        <v>326</v>
      </c>
      <c r="B16" s="19" t="s">
        <v>26</v>
      </c>
      <c r="C16" s="211">
        <f t="shared" si="2"/>
        <v>6680</v>
      </c>
      <c r="D16" s="212">
        <v>33400</v>
      </c>
      <c r="F16" s="209"/>
      <c r="G16" s="19" t="s">
        <v>30</v>
      </c>
      <c r="H16" s="19"/>
      <c r="I16" s="210"/>
    </row>
    <row r="17" spans="1:9" x14ac:dyDescent="0.2">
      <c r="A17" s="209" t="s">
        <v>327</v>
      </c>
      <c r="B17" s="19" t="s">
        <v>30</v>
      </c>
      <c r="C17" s="211">
        <f t="shared" si="2"/>
        <v>7640</v>
      </c>
      <c r="D17" s="212">
        <v>38200</v>
      </c>
      <c r="F17" s="209"/>
      <c r="G17" s="19" t="s">
        <v>33</v>
      </c>
      <c r="H17" s="19"/>
      <c r="I17" s="210"/>
    </row>
    <row r="18" spans="1:9" x14ac:dyDescent="0.2">
      <c r="A18" s="209" t="s">
        <v>328</v>
      </c>
      <c r="B18" s="19" t="s">
        <v>33</v>
      </c>
      <c r="C18" s="211">
        <f t="shared" si="2"/>
        <v>7220</v>
      </c>
      <c r="D18" s="212">
        <v>36100</v>
      </c>
      <c r="F18" s="209"/>
      <c r="G18" s="19" t="s">
        <v>161</v>
      </c>
      <c r="H18" s="19"/>
      <c r="I18" s="210"/>
    </row>
    <row r="19" spans="1:9" x14ac:dyDescent="0.2">
      <c r="A19" s="209" t="s">
        <v>329</v>
      </c>
      <c r="B19" s="19" t="s">
        <v>330</v>
      </c>
      <c r="C19" s="211">
        <f t="shared" si="2"/>
        <v>5400</v>
      </c>
      <c r="D19" s="212">
        <v>27000</v>
      </c>
      <c r="F19" s="215"/>
      <c r="G19" s="216" t="s">
        <v>155</v>
      </c>
      <c r="H19" s="216"/>
      <c r="I19" s="219"/>
    </row>
    <row r="20" spans="1:9" x14ac:dyDescent="0.2">
      <c r="A20" s="209" t="s">
        <v>331</v>
      </c>
      <c r="B20" s="19" t="s">
        <v>332</v>
      </c>
      <c r="C20" s="211">
        <f t="shared" si="2"/>
        <v>7100</v>
      </c>
      <c r="D20" s="212">
        <v>35500</v>
      </c>
    </row>
    <row r="21" spans="1:9" ht="15.75" customHeight="1" x14ac:dyDescent="0.2">
      <c r="A21" s="215" t="s">
        <v>333</v>
      </c>
      <c r="B21" s="216" t="s">
        <v>155</v>
      </c>
      <c r="C21" s="211">
        <f t="shared" si="2"/>
        <v>3840</v>
      </c>
      <c r="D21" s="223">
        <v>19200</v>
      </c>
    </row>
    <row r="22" spans="1:9" ht="15.75" customHeight="1" x14ac:dyDescent="0.2"/>
    <row r="23" spans="1:9" ht="15.75" customHeight="1" x14ac:dyDescent="0.2"/>
    <row r="24" spans="1:9" ht="15.75" customHeight="1" x14ac:dyDescent="0.2">
      <c r="A24" s="426" t="s">
        <v>334</v>
      </c>
      <c r="B24" s="314"/>
      <c r="C24" s="314"/>
      <c r="D24" s="427"/>
      <c r="F24" s="426" t="s">
        <v>335</v>
      </c>
      <c r="G24" s="314"/>
      <c r="H24" s="314"/>
      <c r="I24" s="427"/>
    </row>
    <row r="25" spans="1:9" ht="15.75" customHeight="1" x14ac:dyDescent="0.2">
      <c r="A25" s="209" t="s">
        <v>305</v>
      </c>
      <c r="B25" s="19" t="s">
        <v>10</v>
      </c>
      <c r="C25" s="19" t="s">
        <v>322</v>
      </c>
      <c r="D25" s="210" t="s">
        <v>308</v>
      </c>
      <c r="F25" s="209"/>
      <c r="G25" s="19" t="s">
        <v>336</v>
      </c>
      <c r="H25" s="19">
        <f>I25*20%</f>
        <v>5340</v>
      </c>
      <c r="I25" s="224">
        <v>26700</v>
      </c>
    </row>
    <row r="26" spans="1:9" ht="15.75" customHeight="1" x14ac:dyDescent="0.2">
      <c r="A26" s="209"/>
      <c r="B26" s="19" t="s">
        <v>20</v>
      </c>
      <c r="C26" s="19">
        <f t="shared" ref="C26:C30" si="3">(D26*20%)</f>
        <v>9540</v>
      </c>
      <c r="D26" s="224">
        <v>47700</v>
      </c>
      <c r="F26" s="209"/>
      <c r="G26" s="19" t="s">
        <v>26</v>
      </c>
      <c r="H26" s="19"/>
      <c r="I26" s="224"/>
    </row>
    <row r="27" spans="1:9" ht="15.75" customHeight="1" x14ac:dyDescent="0.2">
      <c r="A27" s="209"/>
      <c r="B27" s="19" t="s">
        <v>337</v>
      </c>
      <c r="C27" s="19">
        <f t="shared" si="3"/>
        <v>4780</v>
      </c>
      <c r="D27" s="224">
        <v>23900</v>
      </c>
      <c r="F27" s="209"/>
      <c r="G27" s="19" t="s">
        <v>338</v>
      </c>
      <c r="H27" s="19">
        <f t="shared" ref="H27:H29" si="4">I27*20%</f>
        <v>3440</v>
      </c>
      <c r="I27" s="224">
        <v>17200</v>
      </c>
    </row>
    <row r="28" spans="1:9" ht="15.75" customHeight="1" x14ac:dyDescent="0.2">
      <c r="A28" s="209"/>
      <c r="B28" s="19" t="s">
        <v>339</v>
      </c>
      <c r="C28" s="19">
        <f t="shared" si="3"/>
        <v>3680</v>
      </c>
      <c r="D28" s="224">
        <v>18400</v>
      </c>
      <c r="F28" s="209"/>
      <c r="G28" s="19" t="s">
        <v>340</v>
      </c>
      <c r="H28" s="19">
        <f t="shared" si="4"/>
        <v>9880</v>
      </c>
      <c r="I28" s="224">
        <v>49400</v>
      </c>
    </row>
    <row r="29" spans="1:9" ht="15.75" customHeight="1" x14ac:dyDescent="0.2">
      <c r="A29" s="209"/>
      <c r="B29" s="19" t="s">
        <v>341</v>
      </c>
      <c r="C29" s="19">
        <f t="shared" si="3"/>
        <v>3780</v>
      </c>
      <c r="D29" s="224">
        <v>18900</v>
      </c>
      <c r="F29" s="209"/>
      <c r="G29" s="19" t="s">
        <v>342</v>
      </c>
      <c r="H29" s="19">
        <f t="shared" si="4"/>
        <v>4580</v>
      </c>
      <c r="I29" s="225">
        <v>22900</v>
      </c>
    </row>
    <row r="30" spans="1:9" ht="15.75" customHeight="1" x14ac:dyDescent="0.2">
      <c r="A30" s="209"/>
      <c r="B30" s="19" t="s">
        <v>343</v>
      </c>
      <c r="C30" s="19">
        <f t="shared" si="3"/>
        <v>2360</v>
      </c>
      <c r="D30" s="224">
        <v>11800</v>
      </c>
      <c r="F30" s="209"/>
      <c r="G30" s="19" t="s">
        <v>192</v>
      </c>
      <c r="H30" s="19">
        <f t="shared" ref="H30:H32" si="5">I30</f>
        <v>150</v>
      </c>
      <c r="I30" s="224">
        <v>150</v>
      </c>
    </row>
    <row r="31" spans="1:9" ht="15.75" customHeight="1" x14ac:dyDescent="0.2">
      <c r="A31" s="209"/>
      <c r="B31" s="19" t="s">
        <v>344</v>
      </c>
      <c r="C31" s="19">
        <f>D31</f>
        <v>1000</v>
      </c>
      <c r="D31" s="210">
        <v>1000</v>
      </c>
      <c r="F31" s="209"/>
      <c r="G31" s="19" t="s">
        <v>345</v>
      </c>
      <c r="H31" s="19">
        <f t="shared" si="5"/>
        <v>550</v>
      </c>
      <c r="I31" s="224">
        <v>550</v>
      </c>
    </row>
    <row r="32" spans="1:9" ht="15.75" customHeight="1" x14ac:dyDescent="0.2">
      <c r="A32" s="209"/>
      <c r="B32" s="19" t="s">
        <v>222</v>
      </c>
      <c r="C32" s="19">
        <v>1000</v>
      </c>
      <c r="D32" s="210">
        <v>1000</v>
      </c>
      <c r="F32" s="215"/>
      <c r="G32" s="216" t="s">
        <v>346</v>
      </c>
      <c r="H32" s="216">
        <f t="shared" si="5"/>
        <v>500</v>
      </c>
      <c r="I32" s="226">
        <v>500</v>
      </c>
    </row>
    <row r="33" spans="1:9" ht="15.75" customHeight="1" x14ac:dyDescent="0.2">
      <c r="A33" s="209"/>
      <c r="B33" s="19" t="s">
        <v>347</v>
      </c>
      <c r="C33" s="19"/>
      <c r="D33" s="210"/>
    </row>
    <row r="34" spans="1:9" ht="15.75" customHeight="1" x14ac:dyDescent="0.2">
      <c r="A34" s="209"/>
      <c r="B34" s="19" t="s">
        <v>348</v>
      </c>
      <c r="C34" s="19">
        <v>1100</v>
      </c>
      <c r="D34" s="210">
        <v>1100</v>
      </c>
    </row>
    <row r="35" spans="1:9" ht="15.75" customHeight="1" x14ac:dyDescent="0.2">
      <c r="A35" s="215"/>
      <c r="B35" s="216" t="s">
        <v>80</v>
      </c>
      <c r="C35" s="216">
        <v>1000</v>
      </c>
      <c r="D35" s="219">
        <v>1000</v>
      </c>
      <c r="F35" s="426" t="s">
        <v>349</v>
      </c>
      <c r="G35" s="314"/>
      <c r="H35" s="314"/>
      <c r="I35" s="427"/>
    </row>
    <row r="36" spans="1:9" ht="15.75" customHeight="1" x14ac:dyDescent="0.2">
      <c r="F36" s="209"/>
      <c r="G36" s="19" t="s">
        <v>350</v>
      </c>
      <c r="H36" s="19"/>
      <c r="I36" s="224"/>
    </row>
    <row r="37" spans="1:9" ht="15.75" customHeight="1" x14ac:dyDescent="0.2">
      <c r="A37" s="426" t="s">
        <v>351</v>
      </c>
      <c r="B37" s="314"/>
      <c r="C37" s="314"/>
      <c r="D37" s="427"/>
      <c r="F37" s="209"/>
      <c r="G37" s="19" t="s">
        <v>352</v>
      </c>
      <c r="H37" s="19">
        <f t="shared" ref="H37:H56" si="6">I37*20%</f>
        <v>4260</v>
      </c>
      <c r="I37" s="224">
        <v>21300</v>
      </c>
    </row>
    <row r="38" spans="1:9" ht="15.75" customHeight="1" x14ac:dyDescent="0.2">
      <c r="A38" s="209"/>
      <c r="B38" s="19"/>
      <c r="C38" s="19"/>
      <c r="D38" s="210"/>
      <c r="F38" s="209"/>
      <c r="G38" s="19" t="s">
        <v>353</v>
      </c>
      <c r="H38" s="19">
        <f t="shared" si="6"/>
        <v>6220</v>
      </c>
      <c r="I38" s="224">
        <v>31100</v>
      </c>
    </row>
    <row r="39" spans="1:9" ht="15.75" customHeight="1" x14ac:dyDescent="0.2">
      <c r="A39" s="209"/>
      <c r="B39" s="19" t="s">
        <v>354</v>
      </c>
      <c r="C39" s="19">
        <f t="shared" ref="C39:C55" si="7">D39*20%</f>
        <v>6420</v>
      </c>
      <c r="D39" s="224">
        <v>32100</v>
      </c>
      <c r="F39" s="209"/>
      <c r="G39" s="19" t="s">
        <v>355</v>
      </c>
      <c r="H39" s="19">
        <f t="shared" si="6"/>
        <v>1360</v>
      </c>
      <c r="I39" s="224">
        <v>6800</v>
      </c>
    </row>
    <row r="40" spans="1:9" ht="15.75" customHeight="1" x14ac:dyDescent="0.2">
      <c r="A40" s="209"/>
      <c r="B40" s="19" t="s">
        <v>356</v>
      </c>
      <c r="C40" s="19">
        <f t="shared" si="7"/>
        <v>7360</v>
      </c>
      <c r="D40" s="224">
        <v>36800</v>
      </c>
      <c r="F40" s="209"/>
      <c r="G40" s="19" t="s">
        <v>357</v>
      </c>
      <c r="H40" s="19">
        <f t="shared" si="6"/>
        <v>1820</v>
      </c>
      <c r="I40" s="224">
        <v>9100</v>
      </c>
    </row>
    <row r="41" spans="1:9" ht="15.75" customHeight="1" x14ac:dyDescent="0.2">
      <c r="A41" s="209"/>
      <c r="B41" s="19" t="s">
        <v>358</v>
      </c>
      <c r="C41" s="19">
        <f t="shared" si="7"/>
        <v>4400</v>
      </c>
      <c r="D41" s="224">
        <v>22000</v>
      </c>
      <c r="F41" s="209"/>
      <c r="G41" s="19" t="s">
        <v>359</v>
      </c>
      <c r="H41" s="19">
        <f t="shared" si="6"/>
        <v>5340</v>
      </c>
      <c r="I41" s="224">
        <v>26700</v>
      </c>
    </row>
    <row r="42" spans="1:9" ht="15.75" customHeight="1" x14ac:dyDescent="0.2">
      <c r="A42" s="209"/>
      <c r="B42" s="19" t="s">
        <v>360</v>
      </c>
      <c r="C42" s="19">
        <f t="shared" si="7"/>
        <v>11200</v>
      </c>
      <c r="D42" s="224">
        <v>56000</v>
      </c>
      <c r="F42" s="209"/>
      <c r="G42" s="19" t="s">
        <v>361</v>
      </c>
      <c r="H42" s="19">
        <f t="shared" si="6"/>
        <v>7760</v>
      </c>
      <c r="I42" s="224">
        <v>38800</v>
      </c>
    </row>
    <row r="43" spans="1:9" ht="15.75" customHeight="1" x14ac:dyDescent="0.2">
      <c r="A43" s="209"/>
      <c r="B43" s="19" t="s">
        <v>362</v>
      </c>
      <c r="C43" s="19">
        <f t="shared" si="7"/>
        <v>8060</v>
      </c>
      <c r="D43" s="224">
        <v>40300</v>
      </c>
      <c r="F43" s="209"/>
      <c r="G43" s="19" t="s">
        <v>363</v>
      </c>
      <c r="H43" s="19">
        <f t="shared" si="6"/>
        <v>0</v>
      </c>
      <c r="I43" s="224"/>
    </row>
    <row r="44" spans="1:9" ht="15.75" customHeight="1" x14ac:dyDescent="0.2">
      <c r="A44" s="209"/>
      <c r="B44" s="19" t="s">
        <v>364</v>
      </c>
      <c r="C44" s="19">
        <f t="shared" si="7"/>
        <v>8560</v>
      </c>
      <c r="D44" s="225">
        <v>42800</v>
      </c>
      <c r="F44" s="209"/>
      <c r="G44" s="19" t="s">
        <v>365</v>
      </c>
      <c r="H44" s="19">
        <f t="shared" si="6"/>
        <v>0</v>
      </c>
      <c r="I44" s="227"/>
    </row>
    <row r="45" spans="1:9" ht="15.75" customHeight="1" x14ac:dyDescent="0.2">
      <c r="A45" s="209"/>
      <c r="B45" s="228" t="s">
        <v>366</v>
      </c>
      <c r="C45" s="19">
        <f t="shared" si="7"/>
        <v>10920</v>
      </c>
      <c r="D45" s="224">
        <v>54600</v>
      </c>
      <c r="F45" s="209"/>
      <c r="G45" s="19" t="s">
        <v>367</v>
      </c>
      <c r="H45" s="19">
        <f t="shared" si="6"/>
        <v>0</v>
      </c>
      <c r="I45" s="210"/>
    </row>
    <row r="46" spans="1:9" ht="15.75" customHeight="1" x14ac:dyDescent="0.2">
      <c r="A46" s="209"/>
      <c r="B46" s="19" t="s">
        <v>368</v>
      </c>
      <c r="C46" s="19">
        <f t="shared" si="7"/>
        <v>10060</v>
      </c>
      <c r="D46" s="224">
        <v>50300</v>
      </c>
      <c r="F46" s="209"/>
      <c r="G46" s="19" t="s">
        <v>369</v>
      </c>
      <c r="H46" s="19">
        <f t="shared" si="6"/>
        <v>0</v>
      </c>
      <c r="I46" s="210"/>
    </row>
    <row r="47" spans="1:9" ht="15.75" customHeight="1" x14ac:dyDescent="0.2">
      <c r="A47" s="209"/>
      <c r="B47" s="19" t="s">
        <v>370</v>
      </c>
      <c r="C47" s="19">
        <f t="shared" si="7"/>
        <v>9360</v>
      </c>
      <c r="D47" s="224">
        <v>46800</v>
      </c>
      <c r="F47" s="209"/>
      <c r="G47" s="19" t="s">
        <v>371</v>
      </c>
      <c r="H47" s="19">
        <f t="shared" si="6"/>
        <v>0</v>
      </c>
      <c r="I47" s="210"/>
    </row>
    <row r="48" spans="1:9" ht="15.75" customHeight="1" x14ac:dyDescent="0.2">
      <c r="A48" s="209"/>
      <c r="B48" s="19" t="s">
        <v>372</v>
      </c>
      <c r="C48" s="19">
        <f t="shared" si="7"/>
        <v>17000</v>
      </c>
      <c r="D48" s="224">
        <v>85000</v>
      </c>
      <c r="F48" s="209"/>
      <c r="G48" s="19" t="s">
        <v>373</v>
      </c>
      <c r="H48" s="19">
        <f t="shared" si="6"/>
        <v>0</v>
      </c>
      <c r="I48" s="210"/>
    </row>
    <row r="49" spans="1:9" ht="15.75" customHeight="1" x14ac:dyDescent="0.2">
      <c r="A49" s="209"/>
      <c r="B49" s="19" t="s">
        <v>374</v>
      </c>
      <c r="C49" s="19">
        <f t="shared" si="7"/>
        <v>6440</v>
      </c>
      <c r="D49" s="224">
        <v>32200</v>
      </c>
      <c r="F49" s="229"/>
      <c r="G49" s="230" t="s">
        <v>375</v>
      </c>
      <c r="H49" s="19">
        <f t="shared" si="6"/>
        <v>0</v>
      </c>
      <c r="I49" s="231"/>
    </row>
    <row r="50" spans="1:9" ht="15.75" customHeight="1" x14ac:dyDescent="0.2">
      <c r="A50" s="209"/>
      <c r="B50" s="232" t="s">
        <v>376</v>
      </c>
      <c r="C50" s="19">
        <f t="shared" si="7"/>
        <v>3620</v>
      </c>
      <c r="D50" s="224">
        <v>18100</v>
      </c>
      <c r="F50" s="220"/>
      <c r="G50" s="221" t="s">
        <v>377</v>
      </c>
      <c r="H50" s="19">
        <f t="shared" si="6"/>
        <v>6080</v>
      </c>
      <c r="I50" s="224">
        <v>30400</v>
      </c>
    </row>
    <row r="51" spans="1:9" ht="15.75" customHeight="1" x14ac:dyDescent="0.2">
      <c r="A51" s="209"/>
      <c r="B51" s="19" t="s">
        <v>378</v>
      </c>
      <c r="C51" s="19">
        <f t="shared" si="7"/>
        <v>0</v>
      </c>
      <c r="D51" s="210"/>
      <c r="F51" s="209"/>
      <c r="G51" s="19" t="s">
        <v>379</v>
      </c>
      <c r="H51" s="19">
        <f t="shared" si="6"/>
        <v>8480</v>
      </c>
      <c r="I51" s="224">
        <v>42400</v>
      </c>
    </row>
    <row r="52" spans="1:9" ht="15.75" customHeight="1" x14ac:dyDescent="0.2">
      <c r="A52" s="209"/>
      <c r="B52" s="19" t="s">
        <v>380</v>
      </c>
      <c r="C52" s="19">
        <f t="shared" si="7"/>
        <v>4100</v>
      </c>
      <c r="D52" s="224">
        <v>20500</v>
      </c>
      <c r="F52" s="209"/>
      <c r="G52" s="19" t="s">
        <v>381</v>
      </c>
      <c r="H52" s="19">
        <f t="shared" si="6"/>
        <v>0</v>
      </c>
      <c r="I52" s="224"/>
    </row>
    <row r="53" spans="1:9" ht="15.75" customHeight="1" x14ac:dyDescent="0.2">
      <c r="A53" s="209"/>
      <c r="B53" s="19" t="s">
        <v>382</v>
      </c>
      <c r="C53" s="19">
        <f t="shared" si="7"/>
        <v>5180</v>
      </c>
      <c r="D53" s="224">
        <v>25900</v>
      </c>
      <c r="F53" s="209"/>
      <c r="G53" s="19" t="s">
        <v>383</v>
      </c>
      <c r="H53" s="19">
        <f t="shared" si="6"/>
        <v>8160</v>
      </c>
      <c r="I53" s="224">
        <v>40800</v>
      </c>
    </row>
    <row r="54" spans="1:9" ht="15.75" customHeight="1" x14ac:dyDescent="0.2">
      <c r="A54" s="229"/>
      <c r="B54" s="230" t="s">
        <v>384</v>
      </c>
      <c r="C54" s="19">
        <f t="shared" si="7"/>
        <v>15100</v>
      </c>
      <c r="D54" s="227">
        <v>75500</v>
      </c>
      <c r="F54" s="209"/>
      <c r="G54" s="19" t="s">
        <v>385</v>
      </c>
      <c r="H54" s="19">
        <f t="shared" si="6"/>
        <v>2640</v>
      </c>
      <c r="I54" s="224">
        <v>13200</v>
      </c>
    </row>
    <row r="55" spans="1:9" ht="15.75" customHeight="1" x14ac:dyDescent="0.2">
      <c r="A55" s="215"/>
      <c r="B55" s="216" t="s">
        <v>386</v>
      </c>
      <c r="C55" s="19">
        <f t="shared" si="7"/>
        <v>13380</v>
      </c>
      <c r="D55" s="226">
        <v>66900</v>
      </c>
      <c r="F55" s="209"/>
      <c r="G55" s="19" t="s">
        <v>274</v>
      </c>
      <c r="H55" s="19">
        <f t="shared" si="6"/>
        <v>5220</v>
      </c>
      <c r="I55" s="224">
        <v>26100</v>
      </c>
    </row>
    <row r="56" spans="1:9" ht="15.75" customHeight="1" x14ac:dyDescent="0.2">
      <c r="F56" s="215"/>
      <c r="G56" s="216" t="s">
        <v>387</v>
      </c>
      <c r="H56" s="19">
        <f t="shared" si="6"/>
        <v>9980</v>
      </c>
      <c r="I56" s="227">
        <v>49900</v>
      </c>
    </row>
    <row r="57" spans="1:9" ht="15.75" customHeight="1" x14ac:dyDescent="0.2">
      <c r="A57" t="s">
        <v>39</v>
      </c>
      <c r="B57" t="s">
        <v>388</v>
      </c>
      <c r="C57" t="s">
        <v>389</v>
      </c>
    </row>
    <row r="58" spans="1:9" ht="15.75" customHeight="1" x14ac:dyDescent="0.2">
      <c r="A58" t="s">
        <v>390</v>
      </c>
    </row>
    <row r="59" spans="1:9" ht="15.75" customHeight="1" x14ac:dyDescent="0.2">
      <c r="A59" t="s">
        <v>391</v>
      </c>
      <c r="B59">
        <v>2</v>
      </c>
      <c r="F59" s="426" t="s">
        <v>392</v>
      </c>
      <c r="G59" s="314"/>
      <c r="H59" s="314"/>
      <c r="I59" s="427"/>
    </row>
    <row r="60" spans="1:9" ht="15.75" customHeight="1" x14ac:dyDescent="0.2">
      <c r="A60" t="s">
        <v>393</v>
      </c>
      <c r="B60">
        <v>2.5</v>
      </c>
      <c r="F60" s="209" t="s">
        <v>16</v>
      </c>
      <c r="G60" s="19" t="s">
        <v>61</v>
      </c>
      <c r="H60" s="19" t="s">
        <v>322</v>
      </c>
      <c r="I60" s="210" t="s">
        <v>308</v>
      </c>
    </row>
    <row r="61" spans="1:9" ht="15.75" customHeight="1" x14ac:dyDescent="0.2">
      <c r="A61" t="s">
        <v>141</v>
      </c>
      <c r="B61">
        <v>3</v>
      </c>
      <c r="F61" s="209"/>
      <c r="G61" s="19" t="s">
        <v>20</v>
      </c>
      <c r="H61" s="211">
        <f t="shared" ref="H61:H68" si="8">I61*20%</f>
        <v>6940</v>
      </c>
      <c r="I61" s="212">
        <v>34700</v>
      </c>
    </row>
    <row r="62" spans="1:9" ht="15.75" customHeight="1" x14ac:dyDescent="0.2">
      <c r="F62" s="209"/>
      <c r="G62" s="19" t="s">
        <v>23</v>
      </c>
      <c r="H62" s="211">
        <f t="shared" si="8"/>
        <v>8220</v>
      </c>
      <c r="I62" s="212">
        <v>41100</v>
      </c>
    </row>
    <row r="63" spans="1:9" ht="15.75" customHeight="1" x14ac:dyDescent="0.2">
      <c r="F63" s="209"/>
      <c r="G63" s="19" t="s">
        <v>26</v>
      </c>
      <c r="H63" s="211">
        <f t="shared" si="8"/>
        <v>6680</v>
      </c>
      <c r="I63" s="212">
        <v>33400</v>
      </c>
    </row>
    <row r="64" spans="1:9" ht="15.75" customHeight="1" x14ac:dyDescent="0.2">
      <c r="A64" s="426" t="s">
        <v>394</v>
      </c>
      <c r="B64" s="314"/>
      <c r="C64" s="314"/>
      <c r="D64" s="427"/>
      <c r="F64" s="209"/>
      <c r="G64" s="19" t="s">
        <v>30</v>
      </c>
      <c r="H64" s="211">
        <f t="shared" si="8"/>
        <v>7840</v>
      </c>
      <c r="I64" s="212">
        <v>39200</v>
      </c>
    </row>
    <row r="65" spans="1:9" ht="15.75" customHeight="1" x14ac:dyDescent="0.2">
      <c r="A65" s="209" t="s">
        <v>16</v>
      </c>
      <c r="B65" s="19" t="s">
        <v>61</v>
      </c>
      <c r="C65" s="19" t="s">
        <v>322</v>
      </c>
      <c r="D65" s="210" t="s">
        <v>308</v>
      </c>
      <c r="F65" s="209"/>
      <c r="G65" s="19" t="s">
        <v>33</v>
      </c>
      <c r="H65" s="211">
        <f t="shared" si="8"/>
        <v>7220</v>
      </c>
      <c r="I65" s="212">
        <v>36100</v>
      </c>
    </row>
    <row r="66" spans="1:9" ht="15.75" customHeight="1" x14ac:dyDescent="0.2">
      <c r="A66" s="209"/>
      <c r="B66" s="19" t="s">
        <v>20</v>
      </c>
      <c r="C66" s="211">
        <f t="shared" ref="C66:C73" si="9">D66*20%</f>
        <v>10340</v>
      </c>
      <c r="D66" s="212">
        <v>51700</v>
      </c>
      <c r="F66" s="209"/>
      <c r="G66" s="19" t="s">
        <v>330</v>
      </c>
      <c r="H66" s="211">
        <f t="shared" si="8"/>
        <v>5400</v>
      </c>
      <c r="I66" s="212">
        <v>27000</v>
      </c>
    </row>
    <row r="67" spans="1:9" ht="15.75" customHeight="1" x14ac:dyDescent="0.2">
      <c r="A67" s="209"/>
      <c r="B67" s="19" t="s">
        <v>23</v>
      </c>
      <c r="C67" s="211">
        <f t="shared" si="9"/>
        <v>10080</v>
      </c>
      <c r="D67" s="212">
        <v>50400</v>
      </c>
      <c r="F67" s="209"/>
      <c r="G67" s="19" t="s">
        <v>332</v>
      </c>
      <c r="H67" s="211">
        <f t="shared" si="8"/>
        <v>7100</v>
      </c>
      <c r="I67" s="212">
        <v>35500</v>
      </c>
    </row>
    <row r="68" spans="1:9" ht="15.75" customHeight="1" x14ac:dyDescent="0.2">
      <c r="A68" s="209"/>
      <c r="B68" s="19" t="s">
        <v>26</v>
      </c>
      <c r="C68" s="211">
        <f t="shared" si="9"/>
        <v>9940</v>
      </c>
      <c r="D68" s="212">
        <v>49700</v>
      </c>
      <c r="F68" s="215"/>
      <c r="G68" s="216" t="s">
        <v>155</v>
      </c>
      <c r="H68" s="211">
        <f t="shared" si="8"/>
        <v>4340</v>
      </c>
      <c r="I68" s="212">
        <v>21700</v>
      </c>
    </row>
    <row r="69" spans="1:9" ht="15.75" customHeight="1" x14ac:dyDescent="0.2">
      <c r="A69" s="209"/>
      <c r="B69" s="19" t="s">
        <v>30</v>
      </c>
      <c r="C69" s="211">
        <f t="shared" si="9"/>
        <v>10180</v>
      </c>
      <c r="D69" s="212">
        <v>50900</v>
      </c>
    </row>
    <row r="70" spans="1:9" ht="15.75" customHeight="1" x14ac:dyDescent="0.2">
      <c r="A70" s="209"/>
      <c r="B70" s="19" t="s">
        <v>33</v>
      </c>
      <c r="C70" s="211">
        <f t="shared" si="9"/>
        <v>10600</v>
      </c>
      <c r="D70" s="212">
        <v>53000</v>
      </c>
    </row>
    <row r="71" spans="1:9" ht="15.75" customHeight="1" x14ac:dyDescent="0.2">
      <c r="A71" s="209"/>
      <c r="B71" s="19" t="s">
        <v>330</v>
      </c>
      <c r="C71" s="211">
        <f t="shared" si="9"/>
        <v>9220</v>
      </c>
      <c r="D71" s="212">
        <v>46100</v>
      </c>
      <c r="F71" s="429" t="s">
        <v>395</v>
      </c>
      <c r="G71" s="314"/>
      <c r="H71" s="314"/>
      <c r="I71" s="427"/>
    </row>
    <row r="72" spans="1:9" ht="15.75" customHeight="1" x14ac:dyDescent="0.2">
      <c r="A72" s="209"/>
      <c r="B72" s="19" t="s">
        <v>332</v>
      </c>
      <c r="C72" s="211">
        <f t="shared" si="9"/>
        <v>11920</v>
      </c>
      <c r="D72" s="212">
        <v>59600</v>
      </c>
      <c r="F72" s="209" t="s">
        <v>16</v>
      </c>
      <c r="G72" s="19" t="s">
        <v>61</v>
      </c>
      <c r="H72" s="19" t="s">
        <v>322</v>
      </c>
      <c r="I72" s="210" t="s">
        <v>308</v>
      </c>
    </row>
    <row r="73" spans="1:9" ht="15.75" customHeight="1" x14ac:dyDescent="0.2">
      <c r="A73" s="215"/>
      <c r="B73" s="216" t="s">
        <v>155</v>
      </c>
      <c r="C73" s="211">
        <f t="shared" si="9"/>
        <v>4100</v>
      </c>
      <c r="D73" s="212">
        <v>20500</v>
      </c>
      <c r="F73" s="209"/>
      <c r="G73" s="19" t="s">
        <v>20</v>
      </c>
      <c r="H73" s="211">
        <f t="shared" ref="H73:H80" si="10">I73*20%</f>
        <v>10340</v>
      </c>
      <c r="I73" s="212">
        <v>51700</v>
      </c>
    </row>
    <row r="74" spans="1:9" ht="15.75" customHeight="1" x14ac:dyDescent="0.2">
      <c r="F74" s="209"/>
      <c r="G74" s="19" t="s">
        <v>23</v>
      </c>
      <c r="H74" s="211">
        <f t="shared" si="10"/>
        <v>10080</v>
      </c>
      <c r="I74" s="212">
        <v>50400</v>
      </c>
    </row>
    <row r="75" spans="1:9" ht="15.75" customHeight="1" x14ac:dyDescent="0.2">
      <c r="F75" s="209"/>
      <c r="G75" s="19" t="s">
        <v>26</v>
      </c>
      <c r="H75" s="211">
        <f t="shared" si="10"/>
        <v>9940</v>
      </c>
      <c r="I75" s="212">
        <v>49700</v>
      </c>
    </row>
    <row r="76" spans="1:9" ht="15.75" customHeight="1" x14ac:dyDescent="0.2">
      <c r="A76" s="428" t="s">
        <v>396</v>
      </c>
      <c r="B76" s="238"/>
      <c r="C76" s="238"/>
      <c r="D76" s="236"/>
      <c r="F76" s="209"/>
      <c r="G76" s="19" t="s">
        <v>30</v>
      </c>
      <c r="H76" s="211">
        <f t="shared" si="10"/>
        <v>12160</v>
      </c>
      <c r="I76" s="233">
        <v>60800</v>
      </c>
    </row>
    <row r="77" spans="1:9" ht="15.75" customHeight="1" x14ac:dyDescent="0.2">
      <c r="A77" s="19" t="s">
        <v>16</v>
      </c>
      <c r="B77" s="19" t="s">
        <v>61</v>
      </c>
      <c r="C77" s="19" t="s">
        <v>322</v>
      </c>
      <c r="D77" s="19" t="s">
        <v>308</v>
      </c>
      <c r="F77" s="209"/>
      <c r="G77" s="19" t="s">
        <v>33</v>
      </c>
      <c r="H77" s="211">
        <f t="shared" si="10"/>
        <v>10720</v>
      </c>
      <c r="I77" s="223">
        <v>53600</v>
      </c>
    </row>
    <row r="78" spans="1:9" ht="15.75" customHeight="1" x14ac:dyDescent="0.2">
      <c r="A78" s="19"/>
      <c r="B78" s="19" t="s">
        <v>20</v>
      </c>
      <c r="C78" s="211">
        <v>19560</v>
      </c>
      <c r="D78" s="108">
        <v>97800</v>
      </c>
      <c r="F78" s="209"/>
      <c r="G78" s="19" t="s">
        <v>330</v>
      </c>
      <c r="H78" s="211">
        <f t="shared" si="10"/>
        <v>8520</v>
      </c>
      <c r="I78" s="223">
        <v>42600</v>
      </c>
    </row>
    <row r="79" spans="1:9" ht="15.75" customHeight="1" x14ac:dyDescent="0.2">
      <c r="A79" s="19"/>
      <c r="B79" s="19" t="s">
        <v>23</v>
      </c>
      <c r="C79" s="211">
        <v>20400</v>
      </c>
      <c r="D79" s="108">
        <v>102000</v>
      </c>
      <c r="F79" s="209"/>
      <c r="G79" s="19" t="s">
        <v>332</v>
      </c>
      <c r="H79" s="211">
        <f t="shared" si="10"/>
        <v>11960</v>
      </c>
      <c r="I79" s="223">
        <v>59800</v>
      </c>
    </row>
    <row r="80" spans="1:9" ht="15.75" customHeight="1" x14ac:dyDescent="0.2">
      <c r="A80" s="19"/>
      <c r="B80" s="19" t="s">
        <v>26</v>
      </c>
      <c r="C80" s="211">
        <v>17600</v>
      </c>
      <c r="D80" s="108">
        <v>88000</v>
      </c>
      <c r="F80" s="215"/>
      <c r="G80" s="216" t="s">
        <v>155</v>
      </c>
      <c r="H80" s="211">
        <f t="shared" si="10"/>
        <v>5120</v>
      </c>
      <c r="I80" s="234">
        <v>25600</v>
      </c>
    </row>
    <row r="81" spans="1:9" ht="15.75" customHeight="1" x14ac:dyDescent="0.2">
      <c r="A81" s="19"/>
      <c r="B81" s="19" t="s">
        <v>30</v>
      </c>
      <c r="C81" s="211">
        <v>26600</v>
      </c>
      <c r="D81" s="108">
        <v>133000</v>
      </c>
      <c r="I81" t="s">
        <v>397</v>
      </c>
    </row>
    <row r="82" spans="1:9" ht="15.75" customHeight="1" x14ac:dyDescent="0.2">
      <c r="A82" s="19"/>
      <c r="B82" s="19" t="s">
        <v>33</v>
      </c>
      <c r="C82" s="211">
        <v>24000</v>
      </c>
      <c r="D82" s="108">
        <v>118300</v>
      </c>
    </row>
    <row r="83" spans="1:9" ht="15.75" customHeight="1" x14ac:dyDescent="0.2">
      <c r="A83" s="19"/>
      <c r="B83" s="19" t="s">
        <v>330</v>
      </c>
      <c r="C83" s="211">
        <v>22500</v>
      </c>
      <c r="D83" s="108">
        <v>118300</v>
      </c>
    </row>
    <row r="84" spans="1:9" ht="15.75" customHeight="1" x14ac:dyDescent="0.2">
      <c r="A84" s="19"/>
      <c r="B84" s="19" t="s">
        <v>155</v>
      </c>
      <c r="C84" s="211">
        <v>10100</v>
      </c>
      <c r="D84" s="108">
        <v>50500</v>
      </c>
    </row>
    <row r="85" spans="1:9" ht="15.75" customHeight="1" x14ac:dyDescent="0.2">
      <c r="A85" s="19"/>
      <c r="B85" s="19" t="s">
        <v>80</v>
      </c>
      <c r="C85" s="211">
        <v>17200</v>
      </c>
      <c r="D85" s="19"/>
    </row>
    <row r="86" spans="1:9" ht="15.75" customHeight="1" x14ac:dyDescent="0.2">
      <c r="A86" s="19"/>
      <c r="B86" s="19" t="s">
        <v>398</v>
      </c>
      <c r="C86" s="19"/>
      <c r="D86" s="19"/>
    </row>
    <row r="87" spans="1:9" ht="15.75" customHeight="1" x14ac:dyDescent="0.2">
      <c r="A87" s="19"/>
      <c r="B87" s="19" t="s">
        <v>42</v>
      </c>
      <c r="C87" s="19"/>
      <c r="D87" s="19"/>
    </row>
    <row r="88" spans="1:9" ht="15.75" customHeight="1" x14ac:dyDescent="0.2"/>
    <row r="89" spans="1:9" ht="15.75" customHeight="1" x14ac:dyDescent="0.2"/>
    <row r="90" spans="1:9" ht="15.75" customHeight="1" x14ac:dyDescent="0.2"/>
    <row r="91" spans="1:9" ht="15.75" customHeight="1" x14ac:dyDescent="0.2"/>
    <row r="92" spans="1:9" ht="15.75" customHeight="1" x14ac:dyDescent="0.2"/>
    <row r="93" spans="1:9" ht="15.75" customHeight="1" x14ac:dyDescent="0.2"/>
    <row r="94" spans="1:9" ht="15.75" customHeight="1" x14ac:dyDescent="0.2"/>
    <row r="95" spans="1:9" ht="15.75" customHeight="1" x14ac:dyDescent="0.2"/>
    <row r="96" spans="1: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1">
    <mergeCell ref="F1:I1"/>
    <mergeCell ref="A1:D1"/>
    <mergeCell ref="A12:D12"/>
    <mergeCell ref="F24:I24"/>
    <mergeCell ref="A24:D24"/>
    <mergeCell ref="A37:D37"/>
    <mergeCell ref="F35:I35"/>
    <mergeCell ref="A76:D76"/>
    <mergeCell ref="A64:D64"/>
    <mergeCell ref="F71:I71"/>
    <mergeCell ref="F59:I5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5020 -2 HOJAS</vt:lpstr>
      <vt:lpstr>5020 - 3 HOJAS</vt:lpstr>
      <vt:lpstr>5020 - 4 HOJAS</vt:lpstr>
      <vt:lpstr>744 - 2 HOJAS</vt:lpstr>
      <vt:lpstr>744 - 4 HOJAS</vt:lpstr>
      <vt:lpstr>744 3 HOJAS 1 DE PARCHE</vt:lpstr>
      <vt:lpstr>8025 4 hojas</vt:lpstr>
      <vt:lpstr>8025 de 3 hojas </vt:lpstr>
      <vt:lpstr>P.B. TUBLAR DE 1X1.2 -PISA</vt:lpstr>
      <vt:lpstr>8025 de  2 hojas</vt:lpstr>
      <vt:lpstr>P.B DE 2 HOJAS DE 1X1.2 PISA</vt:lpstr>
      <vt:lpstr>P.B TUBULAR 3X1-1.2 PISA</vt:lpstr>
      <vt:lpstr>P.B TUBULAR 3X1-1.2 2 HOJAS</vt:lpstr>
      <vt:lpstr>FIJO PRO-3831</vt:lpstr>
      <vt:lpstr>FIJO PRO 3831  1 BASCULANTE</vt:lpstr>
      <vt:lpstr>FIJO PRO 3831 2 BASCULANTES</vt:lpstr>
      <vt:lpstr>7038-4 HOJAS</vt:lpstr>
      <vt:lpstr>7038  DE 2 HOJAS</vt:lpstr>
      <vt:lpstr>DIVICION ACRILICO BAÑO</vt:lpstr>
      <vt:lpstr>PUERTA B. BOTAGUA Y 744</vt:lpstr>
      <vt:lpstr>7038 DE 3 HOJAS</vt:lpstr>
      <vt:lpstr>ALACENA </vt:lpstr>
      <vt:lpstr>REFERENCIAS DE PERFILES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YERAL GIRALDO</dc:creator>
  <cp:lastModifiedBy>PRODUCCION</cp:lastModifiedBy>
  <dcterms:created xsi:type="dcterms:W3CDTF">2016-01-04T21:55:11Z</dcterms:created>
  <dcterms:modified xsi:type="dcterms:W3CDTF">2018-02-12T23:00:37Z</dcterms:modified>
</cp:coreProperties>
</file>